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hidePivotFieldList="1" defaultThemeVersion="166925"/>
  <mc:AlternateContent xmlns:mc="http://schemas.openxmlformats.org/markup-compatibility/2006">
    <mc:Choice Requires="x15">
      <x15ac:absPath xmlns:x15ac="http://schemas.microsoft.com/office/spreadsheetml/2010/11/ac" url="https://d.docs.live.net/dc28182c3f29ea55/Data Analysts/Excel_sleep_data_project/"/>
    </mc:Choice>
  </mc:AlternateContent>
  <xr:revisionPtr revIDLastSave="795" documentId="14_{D499B2BC-9BFC-4900-9103-F63C64CDAE45}" xr6:coauthVersionLast="47" xr6:coauthVersionMax="47" xr10:uidLastSave="{7F731E71-087B-438D-8B40-02CF53CC1F2E}"/>
  <bookViews>
    <workbookView xWindow="-110" yWindow="-110" windowWidth="19420" windowHeight="10300" firstSheet="2" xr2:uid="{FE469973-2EE0-433A-A698-DCCB4F32D943}"/>
  </bookViews>
  <sheets>
    <sheet name="cleaned_sleep_data" sheetId="1" r:id="rId1"/>
    <sheet name="Pivot Table" sheetId="2" r:id="rId2"/>
    <sheet name="Dashboard" sheetId="3" r:id="rId3"/>
    <sheet name="Colours" sheetId="4" r:id="rId4"/>
  </sheets>
  <definedNames>
    <definedName name="Slicer_Breakfast">#N/A</definedName>
    <definedName name="Slicer_Phone_Usage">#N/A</definedName>
    <definedName name="Slicer_Sleep_Group">#N/A</definedName>
  </definedNames>
  <calcPr calcId="191028"/>
  <pivotCaches>
    <pivotCache cacheId="7"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K9" i="2"/>
  <c r="K10" i="2"/>
  <c r="K11" i="2"/>
  <c r="K12" i="2"/>
  <c r="K13" i="2"/>
  <c r="K14" i="2"/>
  <c r="K15" i="2"/>
  <c r="K8" i="2"/>
  <c r="J9" i="2"/>
  <c r="J10" i="2"/>
  <c r="J11" i="2"/>
  <c r="J12" i="2"/>
  <c r="J13" i="2"/>
  <c r="J14" i="2"/>
  <c r="J15" i="2"/>
  <c r="J8" i="2"/>
  <c r="V10" i="3"/>
  <c r="G10" i="3"/>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alcChain>
</file>

<file path=xl/sharedStrings.xml><?xml version="1.0" encoding="utf-8"?>
<sst xmlns="http://schemas.openxmlformats.org/spreadsheetml/2006/main" count="471" uniqueCount="41">
  <si>
    <t>Enough_Sleep</t>
  </si>
  <si>
    <t>Sleep_Hours</t>
  </si>
  <si>
    <t>Phone_Reach</t>
  </si>
  <si>
    <t>Phone_Usage</t>
  </si>
  <si>
    <t>Tired_Level</t>
  </si>
  <si>
    <t>Breakfast</t>
  </si>
  <si>
    <t>Sleep_Group</t>
  </si>
  <si>
    <t>Yes</t>
  </si>
  <si>
    <t>Correlation Paradox</t>
  </si>
  <si>
    <t>No</t>
  </si>
  <si>
    <t xml:space="preserve"> </t>
  </si>
  <si>
    <t>Average Sleep Hours</t>
  </si>
  <si>
    <t>Average of Tired_Level</t>
  </si>
  <si>
    <t>Phone Usage</t>
  </si>
  <si>
    <t>Grand Total</t>
  </si>
  <si>
    <t>Enough Sleep</t>
  </si>
  <si>
    <t>Average of Sleep_Hours</t>
  </si>
  <si>
    <t>Sleep Hours</t>
  </si>
  <si>
    <t>Row Labels</t>
  </si>
  <si>
    <t>Count of Enough_Sleep</t>
  </si>
  <si>
    <t>≤5 hours</t>
  </si>
  <si>
    <t>6–7 hours</t>
  </si>
  <si>
    <t>≥8 hours</t>
  </si>
  <si>
    <t>4D2FD8</t>
  </si>
  <si>
    <t>66EBBA</t>
  </si>
  <si>
    <t>8D77F5</t>
  </si>
  <si>
    <t>0096FB</t>
  </si>
  <si>
    <t>C3B7F7</t>
  </si>
  <si>
    <t>FF5F00</t>
  </si>
  <si>
    <t>FF9A20</t>
  </si>
  <si>
    <t>CAC7DF</t>
  </si>
  <si>
    <t>#5B7472</t>
  </si>
  <si>
    <t>009A96</t>
  </si>
  <si>
    <t>#556F56</t>
  </si>
  <si>
    <t>35D7C7</t>
  </si>
  <si>
    <t>#605680</t>
  </si>
  <si>
    <t>FF0167</t>
  </si>
  <si>
    <t>FF3A89</t>
  </si>
  <si>
    <t>#076A60</t>
  </si>
  <si>
    <t>2B76DD</t>
  </si>
  <si>
    <t>02CDFA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</si>
</sst>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48"/>
      <color theme="0"/>
      <name val="Calibri"/>
      <family val="2"/>
      <scheme val="minor"/>
    </font>
    <font>
      <b/>
      <sz val="10"/>
      <color rgb="FF000000"/>
      <name val="Calibri"/>
      <scheme val="minor"/>
    </font>
    <font>
      <b/>
      <sz val="10"/>
      <color rgb="FF000000"/>
      <name val="Calibri"/>
      <charset val="1"/>
    </font>
  </fonts>
  <fills count="5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4D2FD8"/>
        <bgColor indexed="64"/>
      </patternFill>
    </fill>
    <fill>
      <patternFill patternType="solid">
        <fgColor rgb="FF8D77F5"/>
        <bgColor indexed="64"/>
      </patternFill>
    </fill>
    <fill>
      <patternFill patternType="solid">
        <fgColor rgb="FFC3B7F7"/>
        <bgColor indexed="64"/>
      </patternFill>
    </fill>
    <fill>
      <patternFill patternType="solid">
        <fgColor rgb="FFFF5F00"/>
        <bgColor indexed="64"/>
      </patternFill>
    </fill>
    <fill>
      <patternFill patternType="solid">
        <fgColor rgb="FFFF9A20"/>
        <bgColor indexed="64"/>
      </patternFill>
    </fill>
    <fill>
      <patternFill patternType="solid">
        <fgColor rgb="FFCAC7DF"/>
        <bgColor indexed="64"/>
      </patternFill>
    </fill>
    <fill>
      <patternFill patternType="solid">
        <fgColor rgb="FF009A96"/>
        <bgColor indexed="64"/>
      </patternFill>
    </fill>
    <fill>
      <patternFill patternType="solid">
        <fgColor rgb="FF35D7C7"/>
        <bgColor indexed="64"/>
      </patternFill>
    </fill>
    <fill>
      <patternFill patternType="solid">
        <fgColor rgb="FFFF0167"/>
        <bgColor indexed="64"/>
      </patternFill>
    </fill>
    <fill>
      <patternFill patternType="solid">
        <fgColor rgb="FFFF3A89"/>
        <bgColor indexed="64"/>
      </patternFill>
    </fill>
    <fill>
      <patternFill patternType="solid">
        <fgColor rgb="FF2B76DD"/>
        <bgColor indexed="64"/>
      </patternFill>
    </fill>
    <fill>
      <patternFill patternType="solid">
        <fgColor rgb="FF02CDFA"/>
        <bgColor indexed="64"/>
      </patternFill>
    </fill>
    <fill>
      <patternFill patternType="solid">
        <fgColor rgb="FF66EBBA"/>
        <bgColor indexed="64"/>
      </patternFill>
    </fill>
    <fill>
      <patternFill patternType="solid">
        <fgColor rgb="FF0096FB"/>
        <bgColor indexed="64"/>
      </patternFill>
    </fill>
    <fill>
      <patternFill patternType="solid">
        <fgColor theme="1"/>
        <bgColor indexed="64"/>
      </patternFill>
    </fill>
    <fill>
      <patternFill patternType="solid">
        <fgColor theme="1" tint="0.34998626667073579"/>
        <bgColor indexed="64"/>
      </patternFill>
    </fill>
    <fill>
      <patternFill patternType="solid">
        <fgColor rgb="FF5B7472"/>
        <bgColor indexed="64"/>
      </patternFill>
    </fill>
    <fill>
      <patternFill patternType="solid">
        <fgColor rgb="FF556F56"/>
        <bgColor indexed="64"/>
      </patternFill>
    </fill>
    <fill>
      <patternFill patternType="solid">
        <fgColor rgb="FF605680"/>
        <bgColor indexed="64"/>
      </patternFill>
    </fill>
    <fill>
      <patternFill patternType="solid">
        <fgColor rgb="FF076A60"/>
        <bgColor indexed="64"/>
      </patternFill>
    </fill>
    <fill>
      <patternFill patternType="solid">
        <fgColor rgb="FF252927"/>
        <bgColor indexed="64"/>
      </patternFill>
    </fill>
    <fill>
      <patternFill patternType="solid">
        <fgColor rgb="FF7030A0"/>
        <bgColor indexed="64"/>
      </patternFill>
    </fill>
    <fill>
      <patternFill patternType="solid">
        <fgColor rgb="FF404F4E"/>
        <bgColor indexed="64"/>
      </patternFill>
    </fill>
    <fill>
      <patternFill patternType="solid">
        <fgColor theme="0"/>
        <bgColor indexed="64"/>
      </patternFill>
    </fill>
    <fill>
      <patternFill patternType="solid">
        <fgColor rgb="FF4A4365"/>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6">
    <xf numFmtId="0" fontId="0" fillId="0" borderId="0" xfId="0"/>
    <xf numFmtId="0" fontId="0" fillId="0" borderId="0" xfId="0"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0" xfId="0" pivotButton="1"/>
    <xf numFmtId="0" fontId="0" fillId="0" borderId="0" xfId="0" applyAlignment="1">
      <alignment horizontal="left"/>
    </xf>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0" fillId="50" borderId="0" xfId="0" applyFill="1"/>
    <xf numFmtId="0" fontId="0" fillId="51" borderId="0" xfId="0" applyFill="1"/>
    <xf numFmtId="0" fontId="0" fillId="52" borderId="0" xfId="0" applyFill="1"/>
    <xf numFmtId="9" fontId="0" fillId="0" borderId="0" xfId="0" applyNumberFormat="1"/>
    <xf numFmtId="0" fontId="0" fillId="53" borderId="0" xfId="0" applyFill="1"/>
    <xf numFmtId="0" fontId="0" fillId="54" borderId="0" xfId="0" applyFill="1"/>
    <xf numFmtId="0" fontId="18" fillId="53" borderId="0" xfId="0" applyFont="1" applyFill="1" applyAlignment="1">
      <alignment horizontal="center"/>
    </xf>
    <xf numFmtId="0" fontId="0" fillId="56" borderId="0" xfId="0" applyFill="1"/>
    <xf numFmtId="164" fontId="0" fillId="0" borderId="0" xfId="0" applyNumberFormat="1"/>
    <xf numFmtId="1" fontId="0" fillId="0" borderId="0" xfId="0" applyNumberFormat="1"/>
    <xf numFmtId="0" fontId="19" fillId="0" borderId="0" xfId="0" applyFont="1" applyAlignment="1">
      <alignment horizontal="center" wrapText="1"/>
    </xf>
    <xf numFmtId="0" fontId="0" fillId="0" borderId="0" xfId="0" applyNumberFormat="1"/>
    <xf numFmtId="0" fontId="18" fillId="55" borderId="0" xfId="0" applyFont="1" applyFill="1" applyAlignment="1">
      <alignment horizontal="center"/>
    </xf>
    <xf numFmtId="0" fontId="18" fillId="57" borderId="0" xfId="0" applyFont="1" applyFill="1" applyAlignment="1">
      <alignment horizontal="center"/>
    </xf>
    <xf numFmtId="2" fontId="0" fillId="0" borderId="0" xfId="0" applyNumberFormat="1"/>
    <xf numFmtId="0" fontId="20"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1">
    <dxf>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auto="1"/>
        </left>
        <right style="thin">
          <color auto="1"/>
        </right>
        <top/>
        <bottom/>
      </border>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2" formatCode="0.00"/>
    </dxf>
    <dxf>
      <numFmt numFmtId="2" formatCode="0.00"/>
    </dxf>
    <dxf>
      <numFmt numFmtId="2" formatCode="0.00"/>
    </dxf>
    <dxf>
      <numFmt numFmtId="164" formatCode="0.0"/>
    </dxf>
    <dxf>
      <numFmt numFmtId="13" formatCode="0%"/>
    </dxf>
    <dxf>
      <numFmt numFmtId="13" formatCode="0%"/>
    </dxf>
    <dxf>
      <numFmt numFmtId="13" formatCode="0%"/>
    </dxf>
    <dxf>
      <numFmt numFmtId="164" formatCode="0.0"/>
    </dxf>
    <dxf>
      <numFmt numFmtId="2" formatCode="0.00"/>
    </dxf>
    <dxf>
      <numFmt numFmtId="2" formatCode="0.00"/>
    </dxf>
    <dxf>
      <numFmt numFmtId="2" formatCode="0.00"/>
    </dxf>
    <dxf>
      <numFmt numFmtId="164" formatCode="0.0"/>
    </dxf>
    <dxf>
      <numFmt numFmtId="1" formatCode="0"/>
    </dxf>
    <dxf>
      <numFmt numFmtId="1" formatCode="0"/>
    </dxf>
    <dxf>
      <numFmt numFmtId="2" formatCode="0.00"/>
    </dxf>
    <dxf>
      <numFmt numFmtId="2" formatCode="0.00"/>
    </dxf>
    <dxf>
      <numFmt numFmtId="2" formatCode="0.00"/>
    </dxf>
    <dxf>
      <numFmt numFmtId="164" formatCode="0.0"/>
    </dxf>
    <dxf>
      <fill>
        <gradientFill degree="90">
          <stop position="0">
            <color rgb="FF2B76DD"/>
          </stop>
          <stop position="1">
            <color theme="8" tint="0.40000610370189521"/>
          </stop>
        </gradientFill>
      </fill>
    </dxf>
    <dxf>
      <fill>
        <gradientFill degree="90">
          <stop position="0">
            <color rgb="FFCAC7DF"/>
          </stop>
          <stop position="1">
            <color rgb="FF8760DC"/>
          </stop>
        </gradientFill>
      </fill>
    </dxf>
    <dxf>
      <fill>
        <gradientFill degree="90">
          <stop position="0">
            <color rgb="FF5B7472"/>
          </stop>
          <stop position="1">
            <color rgb="FFCAC7DF"/>
          </stop>
        </gradientFill>
      </fill>
    </dxf>
    <dxf>
      <fill>
        <gradientFill degree="90">
          <stop position="0">
            <color rgb="FFAADCD7"/>
          </stop>
          <stop position="1">
            <color theme="9" tint="0.40000610370189521"/>
          </stop>
        </gradientFill>
      </fill>
    </dxf>
  </dxfs>
  <tableStyles count="5" defaultTableStyle="TableStyleMedium2" defaultPivotStyle="PivotStyleLight16">
    <tableStyle name="Slicer Style 1" pivot="0" table="0" count="0" xr9:uid="{CBEBC913-B791-40CB-9446-4C31400BBE9B}"/>
    <tableStyle name="Slicer Style 2" pivot="0" table="0" count="1" xr9:uid="{D3F4EC99-1600-44E0-8016-0833CF3F0B09}">
      <tableStyleElement type="wholeTable" dxfId="40"/>
    </tableStyle>
    <tableStyle name="Slicer Style 3" pivot="0" table="0" count="1" xr9:uid="{EDC8EF34-1AA0-464B-8ECE-389BB0CFAE45}">
      <tableStyleElement type="wholeTable" dxfId="39"/>
    </tableStyle>
    <tableStyle name="Slicer Style 4" pivot="0" table="0" count="1" xr9:uid="{34D1E8F2-56E9-4EFA-B1A5-2A03F2D74533}">
      <tableStyleElement type="wholeTable" dxfId="38"/>
    </tableStyle>
    <tableStyle name="Slicer Style 5" pivot="0" table="0" count="1" xr9:uid="{82C6D73D-3C0F-4311-AC99-5240B98DC5CA}">
      <tableStyleElement type="wholeTable" dxfId="37"/>
    </tableStyle>
  </tableStyles>
  <colors>
    <mruColors>
      <color rgb="FF4A4365"/>
      <color rgb="FF252927"/>
      <color rgb="FF4E4868"/>
      <color rgb="FF404F4E"/>
      <color rgb="FF5F5686"/>
      <color rgb="FF574E7A"/>
      <color rgb="FF8760DC"/>
      <color rgb="FF5B7472"/>
      <color rgb="FF3A3838"/>
      <color rgb="FF2B76DD"/>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 name="Slicer Style 5"/>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Table!PivotTable8</c:name>
    <c:fmtId val="5"/>
  </c:pivotSource>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IN" sz="2800" b="1" i="0" u="none" strike="noStrike" baseline="0">
                <a:solidFill>
                  <a:srgbClr val="0096FB"/>
                </a:solidFill>
              </a:rPr>
              <a:t>Enough </a:t>
            </a:r>
          </a:p>
          <a:p>
            <a:pPr>
              <a:defRPr sz="2800"/>
            </a:pPr>
            <a:r>
              <a:rPr lang="en-IN" sz="2800" b="1" i="0" u="none" strike="noStrike" baseline="0">
                <a:solidFill>
                  <a:srgbClr val="0096FB"/>
                </a:solidFill>
              </a:rPr>
              <a:t>Sleep </a:t>
            </a:r>
          </a:p>
          <a:p>
            <a:pPr>
              <a:defRPr sz="2800"/>
            </a:pPr>
            <a:r>
              <a:rPr lang="en-IN" sz="2800" b="1" i="0" u="none" strike="noStrike" baseline="0">
                <a:solidFill>
                  <a:srgbClr val="0096FB"/>
                </a:solidFill>
              </a:rPr>
              <a:t>Distribution</a:t>
            </a:r>
            <a:endParaRPr lang="en-US" sz="2800" b="1">
              <a:solidFill>
                <a:srgbClr val="0096FB"/>
              </a:solidFill>
            </a:endParaRPr>
          </a:p>
        </c:rich>
      </c:tx>
      <c:layout>
        <c:manualLayout>
          <c:xMode val="edge"/>
          <c:yMode val="edge"/>
          <c:x val="0.32025465825036326"/>
          <c:y val="0.36965031544969923"/>
        </c:manualLayout>
      </c:layout>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pivotFmt>
      <c:pivotFmt>
        <c:idx val="2"/>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19050">
            <a:noFill/>
          </a:ln>
          <a:effectLst/>
        </c:spPr>
      </c:pivotFmt>
      <c:pivotFmt>
        <c:idx val="3"/>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19050">
            <a:noFill/>
          </a:ln>
          <a:effectLst/>
        </c:spPr>
      </c:pivotFmt>
      <c:pivotFmt>
        <c:idx val="5"/>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19050">
            <a:noFill/>
          </a:ln>
          <a:effectLst/>
        </c:spPr>
      </c:pivotFmt>
      <c:pivotFmt>
        <c:idx val="6"/>
        <c:spPr>
          <a:solidFill>
            <a:srgbClr val="1F4E78"/>
          </a:solidFill>
          <a:ln w="19050">
            <a:solidFill>
              <a:srgbClr val="757171"/>
            </a:solidFill>
            <a:prstDash val="soli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F4E78"/>
          </a:solidFill>
          <a:ln w="19050">
            <a:solidFill>
              <a:srgbClr val="757171"/>
            </a:solidFill>
            <a:prstDash val="solid"/>
          </a:ln>
          <a:effectLst/>
        </c:spPr>
        <c:dLbl>
          <c:idx val="0"/>
          <c:layout>
            <c:manualLayout>
              <c:x val="6.632255592264337E-2"/>
              <c:y val="3.6136727080384651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fld id="{65E43757-5FFF-41F2-A44A-6DC68B069FDD}" type="CATEGORYNAME">
                  <a:rPr lang="en-US" sz="1800" b="1">
                    <a:solidFill>
                      <a:srgbClr val="0096FB"/>
                    </a:solidFill>
                  </a:rPr>
                  <a:pPr>
                    <a:defRPr sz="1600" b="1">
                      <a:solidFill>
                        <a:srgbClr val="8D77F5"/>
                      </a:solidFill>
                    </a:defRPr>
                  </a:pPr>
                  <a:t>[]</a:t>
                </a:fld>
                <a:r>
                  <a:rPr lang="en-US" sz="1800" b="1" baseline="0">
                    <a:solidFill>
                      <a:srgbClr val="0096FB"/>
                    </a:solidFill>
                  </a:rPr>
                  <a:t>, </a:t>
                </a:r>
                <a:fld id="{0E1BC027-CF7C-4338-8524-5B2283FEC506}" type="VALUE">
                  <a:rPr lang="en-US" sz="1800" b="1" baseline="0">
                    <a:solidFill>
                      <a:srgbClr val="0096FB"/>
                    </a:solidFill>
                  </a:rPr>
                  <a:pPr>
                    <a:defRPr sz="1600" b="1">
                      <a:solidFill>
                        <a:srgbClr val="8D77F5"/>
                      </a:solidFill>
                    </a:defRPr>
                  </a:pPr>
                  <a:t>[]</a:t>
                </a:fld>
                <a:endParaRPr lang="en-US" sz="1800" b="1" baseline="0">
                  <a:solidFill>
                    <a:srgbClr val="0096FB"/>
                  </a:solidFill>
                </a:endParaRPr>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5412190998507789"/>
                  <c:h val="4.3117271812881323E-2"/>
                </c:manualLayout>
              </c15:layout>
              <c15:dlblFieldTable/>
              <c15:showDataLabelsRange val="0"/>
            </c:ext>
          </c:extLst>
        </c:dLbl>
      </c:pivotFmt>
      <c:pivotFmt>
        <c:idx val="8"/>
        <c:spPr>
          <a:solidFill>
            <a:srgbClr val="1F4E78"/>
          </a:solidFill>
          <a:ln w="19050">
            <a:solidFill>
              <a:srgbClr val="757171"/>
            </a:solidFill>
            <a:prstDash val="solid"/>
          </a:ln>
          <a:effectLst/>
        </c:spPr>
        <c:dLbl>
          <c:idx val="0"/>
          <c:layout>
            <c:manualLayout>
              <c:x val="-3.9225848732555293E-3"/>
              <c:y val="-6.2341872985882549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fld id="{BBCE9121-10F2-40F6-A12E-2D6DA4B43623}" type="CATEGORYNAME">
                  <a:rPr lang="en-US" sz="1800" b="1"/>
                  <a:pPr>
                    <a:defRPr sz="1600" b="1">
                      <a:solidFill>
                        <a:srgbClr val="2B76DD"/>
                      </a:solidFill>
                    </a:defRPr>
                  </a:pPr>
                  <a:t>[]</a:t>
                </a:fld>
                <a:r>
                  <a:rPr lang="en-US" sz="1800" b="1" baseline="0"/>
                  <a:t>, </a:t>
                </a:r>
                <a:fld id="{738E8CD5-9CE0-4E26-8F94-91BF5DABE6EE}" type="VALUE">
                  <a:rPr lang="en-US" sz="1800" b="1" baseline="0"/>
                  <a:pPr>
                    <a:defRPr sz="1600" b="1">
                      <a:solidFill>
                        <a:srgbClr val="2B76DD"/>
                      </a:solidFill>
                    </a:defRPr>
                  </a:pPr>
                  <a:t>[]</a:t>
                </a:fld>
                <a:endParaRPr lang="en-US" sz="1800" b="1" baseline="0"/>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4544976679626443"/>
                  <c:h val="5.0222390397552094E-2"/>
                </c:manualLayout>
              </c15:layout>
              <c15:dlblFieldTable/>
              <c15:showDataLabelsRange val="0"/>
            </c:ext>
          </c:extLst>
        </c:dLbl>
      </c:pivotFmt>
    </c:pivotFmts>
    <c:plotArea>
      <c:layout>
        <c:manualLayout>
          <c:layoutTarget val="inner"/>
          <c:xMode val="edge"/>
          <c:yMode val="edge"/>
          <c:x val="0.10973905788173346"/>
          <c:y val="0.19072820931322873"/>
          <c:w val="0.82054796297876531"/>
          <c:h val="0.6132985542187549"/>
        </c:manualLayout>
      </c:layout>
      <c:doughnutChart>
        <c:varyColors val="1"/>
        <c:ser>
          <c:idx val="0"/>
          <c:order val="0"/>
          <c:tx>
            <c:strRef>
              <c:f>'Pivot Table'!$E$11</c:f>
              <c:strCache>
                <c:ptCount val="1"/>
                <c:pt idx="0">
                  <c:v>Total</c:v>
                </c:pt>
              </c:strCache>
            </c:strRef>
          </c:tx>
          <c:spPr>
            <a:solidFill>
              <a:srgbClr val="1F4E78"/>
            </a:solidFill>
            <a:ln>
              <a:solidFill>
                <a:srgbClr val="757171"/>
              </a:solidFill>
              <a:prstDash val="solid"/>
            </a:ln>
          </c:spPr>
          <c:dPt>
            <c:idx val="0"/>
            <c:bubble3D val="0"/>
            <c:spPr>
              <a:solidFill>
                <a:srgbClr val="1F4E78"/>
              </a:solidFill>
              <a:ln w="19050">
                <a:solidFill>
                  <a:srgbClr val="757171"/>
                </a:solidFill>
                <a:prstDash val="solid"/>
              </a:ln>
              <a:effectLst/>
            </c:spPr>
            <c:extLst>
              <c:ext xmlns:c16="http://schemas.microsoft.com/office/drawing/2014/chart" uri="{C3380CC4-5D6E-409C-BE32-E72D297353CC}">
                <c16:uniqueId val="{00000001-A04A-4A34-A832-3AD51531AB62}"/>
              </c:ext>
            </c:extLst>
          </c:dPt>
          <c:dPt>
            <c:idx val="1"/>
            <c:bubble3D val="0"/>
            <c:spPr>
              <a:solidFill>
                <a:srgbClr val="1F4E78"/>
              </a:solidFill>
              <a:ln w="19050">
                <a:solidFill>
                  <a:srgbClr val="757171"/>
                </a:solidFill>
                <a:prstDash val="solid"/>
              </a:ln>
              <a:effectLst/>
            </c:spPr>
            <c:extLst>
              <c:ext xmlns:c16="http://schemas.microsoft.com/office/drawing/2014/chart" uri="{C3380CC4-5D6E-409C-BE32-E72D297353CC}">
                <c16:uniqueId val="{00000003-A04A-4A34-A832-3AD51531AB62}"/>
              </c:ext>
            </c:extLst>
          </c:dPt>
          <c:dLbls>
            <c:dLbl>
              <c:idx val="0"/>
              <c:layout>
                <c:manualLayout>
                  <c:x val="6.632255592264337E-2"/>
                  <c:y val="3.6136727080384651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fld id="{65E43757-5FFF-41F2-A44A-6DC68B069FDD}" type="CATEGORYNAME">
                      <a:rPr lang="en-US" sz="1800" b="1">
                        <a:solidFill>
                          <a:srgbClr val="0096FB"/>
                        </a:solidFill>
                      </a:rPr>
                      <a:pPr>
                        <a:defRPr sz="1600" b="1">
                          <a:solidFill>
                            <a:srgbClr val="8D77F5"/>
                          </a:solidFill>
                        </a:defRPr>
                      </a:pPr>
                      <a:t>[]</a:t>
                    </a:fld>
                    <a:r>
                      <a:rPr lang="en-US" sz="1800" b="1" baseline="0">
                        <a:solidFill>
                          <a:srgbClr val="0096FB"/>
                        </a:solidFill>
                      </a:rPr>
                      <a:t>, </a:t>
                    </a:r>
                    <a:fld id="{0E1BC027-CF7C-4338-8524-5B2283FEC506}" type="VALUE">
                      <a:rPr lang="en-US" sz="1800" b="1" baseline="0">
                        <a:solidFill>
                          <a:srgbClr val="0096FB"/>
                        </a:solidFill>
                      </a:rPr>
                      <a:pPr>
                        <a:defRPr sz="1600" b="1">
                          <a:solidFill>
                            <a:srgbClr val="8D77F5"/>
                          </a:solidFill>
                        </a:defRPr>
                      </a:pPr>
                      <a:t>[]</a:t>
                    </a:fld>
                    <a:endParaRPr lang="en-US" sz="1800" b="1" baseline="0">
                      <a:solidFill>
                        <a:srgbClr val="0096FB"/>
                      </a:solidFill>
                    </a:endParaRPr>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8D77F5"/>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5412190998507789"/>
                      <c:h val="4.3117271812881323E-2"/>
                    </c:manualLayout>
                  </c15:layout>
                  <c15:dlblFieldTable/>
                  <c15:showDataLabelsRange val="0"/>
                </c:ext>
                <c:ext xmlns:c16="http://schemas.microsoft.com/office/drawing/2014/chart" uri="{C3380CC4-5D6E-409C-BE32-E72D297353CC}">
                  <c16:uniqueId val="{00000001-A04A-4A34-A832-3AD51531AB62}"/>
                </c:ext>
              </c:extLst>
            </c:dLbl>
            <c:dLbl>
              <c:idx val="1"/>
              <c:layout>
                <c:manualLayout>
                  <c:x val="-3.9225848732555293E-3"/>
                  <c:y val="-6.2341872985882549E-2"/>
                </c:manualLayout>
              </c:layout>
              <c:tx>
                <c:rich>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fld id="{BBCE9121-10F2-40F6-A12E-2D6DA4B43623}" type="CATEGORYNAME">
                      <a:rPr lang="en-US" sz="1800" b="1"/>
                      <a:pPr>
                        <a:defRPr sz="1600" b="1">
                          <a:solidFill>
                            <a:srgbClr val="2B76DD"/>
                          </a:solidFill>
                        </a:defRPr>
                      </a:pPr>
                      <a:t>[]</a:t>
                    </a:fld>
                    <a:r>
                      <a:rPr lang="en-US" sz="1800" b="1" baseline="0"/>
                      <a:t>, </a:t>
                    </a:r>
                    <a:fld id="{738E8CD5-9CE0-4E26-8F94-91BF5DABE6EE}" type="VALUE">
                      <a:rPr lang="en-US" sz="1800" b="1" baseline="0"/>
                      <a:pPr>
                        <a:defRPr sz="1600" b="1">
                          <a:solidFill>
                            <a:srgbClr val="2B76DD"/>
                          </a:solidFill>
                        </a:defRPr>
                      </a:pPr>
                      <a:t>[]</a:t>
                    </a:fld>
                    <a:endParaRPr lang="en-US" sz="1800" b="1" baseline="0"/>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rgbClr val="2B76DD"/>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24544976679626443"/>
                      <c:h val="5.0222390397552094E-2"/>
                    </c:manualLayout>
                  </c15:layout>
                  <c15:dlblFieldTable/>
                  <c15:showDataLabelsRange val="0"/>
                </c:ext>
                <c:ext xmlns:c16="http://schemas.microsoft.com/office/drawing/2014/chart" uri="{C3380CC4-5D6E-409C-BE32-E72D297353CC}">
                  <c16:uniqueId val="{00000003-A04A-4A34-A832-3AD51531AB6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 Table'!$D$12:$D$14</c:f>
              <c:strCache>
                <c:ptCount val="2"/>
                <c:pt idx="0">
                  <c:v>No</c:v>
                </c:pt>
                <c:pt idx="1">
                  <c:v>Yes</c:v>
                </c:pt>
              </c:strCache>
            </c:strRef>
          </c:cat>
          <c:val>
            <c:numRef>
              <c:f>'Pivot Table'!$E$12:$E$14</c:f>
              <c:numCache>
                <c:formatCode>0%</c:formatCode>
                <c:ptCount val="2"/>
                <c:pt idx="0">
                  <c:v>0.65686274509803921</c:v>
                </c:pt>
                <c:pt idx="1">
                  <c:v>0.34313725490196079</c:v>
                </c:pt>
              </c:numCache>
            </c:numRef>
          </c:val>
          <c:extLst>
            <c:ext xmlns:c16="http://schemas.microsoft.com/office/drawing/2014/chart" uri="{C3380CC4-5D6E-409C-BE32-E72D297353CC}">
              <c16:uniqueId val="{00000004-A04A-4A34-A832-3AD51531AB62}"/>
            </c:ext>
          </c:extLst>
        </c:ser>
        <c:dLbls>
          <c:showLegendKey val="0"/>
          <c:showVal val="0"/>
          <c:showCatName val="0"/>
          <c:showSerName val="0"/>
          <c:showPercent val="0"/>
          <c:showBubbleSize val="0"/>
          <c:showLeaderLines val="0"/>
        </c:dLbls>
        <c:firstSliceAng val="30"/>
        <c:holeSize val="7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8760DC"/>
                </a:solidFill>
              </a:rPr>
              <a:t>Phone Usage vs Average Tiredness</a:t>
            </a:r>
            <a:endParaRPr lang="en-US" sz="1600" b="1">
              <a:solidFill>
                <a:srgbClr val="8760DC"/>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8D77F5">
                  <a:alpha val="22000"/>
                </a:srgbClr>
              </a:gs>
              <a:gs pos="88000">
                <a:srgbClr val="8D77F5">
                  <a:alpha val="67000"/>
                  <a:lumMod val="79000"/>
                  <a:lumOff val="21000"/>
                </a:srgbClr>
              </a:gs>
            </a:gsLst>
            <a:lin ang="5400000" scaled="1"/>
          </a:gradFill>
          <a:ln>
            <a:gradFill>
              <a:gsLst>
                <a:gs pos="0">
                  <a:srgbClr val="8D77F5"/>
                </a:gs>
                <a:gs pos="100000">
                  <a:srgbClr val="8D77F5"/>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c:f>
              <c:strCache>
                <c:ptCount val="1"/>
                <c:pt idx="0">
                  <c:v>Total</c:v>
                </c:pt>
              </c:strCache>
            </c:strRef>
          </c:tx>
          <c:spPr>
            <a:gradFill>
              <a:gsLst>
                <a:gs pos="0">
                  <a:srgbClr val="8D77F5">
                    <a:alpha val="22000"/>
                  </a:srgbClr>
                </a:gs>
                <a:gs pos="88000">
                  <a:srgbClr val="8D77F5">
                    <a:alpha val="67000"/>
                    <a:lumMod val="79000"/>
                    <a:lumOff val="21000"/>
                  </a:srgbClr>
                </a:gs>
              </a:gsLst>
              <a:lin ang="5400000" scaled="1"/>
            </a:gradFill>
            <a:ln>
              <a:gradFill>
                <a:gsLst>
                  <a:gs pos="0">
                    <a:srgbClr val="8D77F5"/>
                  </a:gs>
                  <a:gs pos="100000">
                    <a:srgbClr val="8D77F5"/>
                  </a:gs>
                </a:gsLst>
                <a:lin ang="5400000" scaled="1"/>
              </a:gra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Table'!$D$2:$D$4</c:f>
              <c:strCache>
                <c:ptCount val="2"/>
                <c:pt idx="0">
                  <c:v>No</c:v>
                </c:pt>
                <c:pt idx="1">
                  <c:v>Yes</c:v>
                </c:pt>
              </c:strCache>
            </c:strRef>
          </c:cat>
          <c:val>
            <c:numRef>
              <c:f>'Pivot Table'!$E$2:$E$4</c:f>
              <c:numCache>
                <c:formatCode>0.0</c:formatCode>
                <c:ptCount val="2"/>
                <c:pt idx="0">
                  <c:v>3.225806451612903</c:v>
                </c:pt>
                <c:pt idx="1">
                  <c:v>3.028169014084507</c:v>
                </c:pt>
              </c:numCache>
            </c:numRef>
          </c:val>
          <c:extLst>
            <c:ext xmlns:c16="http://schemas.microsoft.com/office/drawing/2014/chart" uri="{C3380CC4-5D6E-409C-BE32-E72D297353CC}">
              <c16:uniqueId val="{00000000-3846-492D-8BC1-4B792873E5CA}"/>
            </c:ext>
          </c:extLst>
        </c:ser>
        <c:dLbls>
          <c:dLblPos val="outEnd"/>
          <c:showLegendKey val="0"/>
          <c:showVal val="1"/>
          <c:showCatName val="0"/>
          <c:showSerName val="0"/>
          <c:showPercent val="0"/>
          <c:showBubbleSize val="0"/>
        </c:dLbls>
        <c:gapWidth val="219"/>
        <c:overlap val="-27"/>
        <c:axId val="1716152879"/>
        <c:axId val="1716169679"/>
      </c:barChart>
      <c:catAx>
        <c:axId val="1716152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16169679"/>
        <c:crosses val="autoZero"/>
        <c:auto val="1"/>
        <c:lblAlgn val="ctr"/>
        <c:lblOffset val="100"/>
        <c:noMultiLvlLbl val="0"/>
      </c:catAx>
      <c:valAx>
        <c:axId val="1716169679"/>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8760DC"/>
                </a:solidFill>
                <a:latin typeface="+mn-lt"/>
                <a:ea typeface="+mn-ea"/>
                <a:cs typeface="+mn-cs"/>
              </a:defRPr>
            </a:pPr>
            <a:endParaRPr lang="en-US"/>
          </a:p>
        </c:txPr>
        <c:crossAx val="1716152879"/>
        <c:crosses val="autoZero"/>
        <c:crossBetween val="between"/>
        <c:majorUnit val="1"/>
        <c:minorUnit val="0.5"/>
      </c:valAx>
      <c:spPr>
        <a:noFill/>
        <a:ln>
          <a:solidFill>
            <a:schemeClr val="tx1">
              <a:lumMod val="75000"/>
              <a:lumOff val="2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solidFill>
                  <a:srgbClr val="5B7472"/>
                </a:solidFill>
              </a:rPr>
              <a:t>Breakfast vs Average Tiredness</a:t>
            </a:r>
            <a:endParaRPr lang="en-US" sz="1600" b="1">
              <a:solidFill>
                <a:srgbClr val="5B7472"/>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pivotFmt>
      <c:pivotFmt>
        <c:idx val="4"/>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pivotFmt>
    </c:pivotFmts>
    <c:plotArea>
      <c:layout/>
      <c:barChart>
        <c:barDir val="col"/>
        <c:grouping val="clustered"/>
        <c:varyColors val="0"/>
        <c:ser>
          <c:idx val="0"/>
          <c:order val="0"/>
          <c:tx>
            <c:strRef>
              <c:f>'Pivot Table'!$E$6</c:f>
              <c:strCache>
                <c:ptCount val="1"/>
                <c:pt idx="0">
                  <c:v>Total</c:v>
                </c:pt>
              </c:strCache>
            </c:strRef>
          </c:tx>
          <c:spPr>
            <a:gradFill>
              <a:gsLst>
                <a:gs pos="0">
                  <a:srgbClr val="5B7472">
                    <a:lumMod val="58000"/>
                  </a:srgbClr>
                </a:gs>
                <a:gs pos="88000">
                  <a:srgbClr val="5B7472">
                    <a:lumMod val="91000"/>
                    <a:alpha val="61000"/>
                  </a:srgbClr>
                </a:gs>
              </a:gsLst>
              <a:lin ang="5400000" scaled="1"/>
            </a:gradFill>
            <a:ln>
              <a:solidFill>
                <a:srgbClr val="548235"/>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Table'!$D$7:$D$9</c:f>
              <c:strCache>
                <c:ptCount val="2"/>
                <c:pt idx="0">
                  <c:v>No</c:v>
                </c:pt>
                <c:pt idx="1">
                  <c:v>Yes</c:v>
                </c:pt>
              </c:strCache>
            </c:strRef>
          </c:cat>
          <c:val>
            <c:numRef>
              <c:f>'Pivot Table'!$E$7:$E$9</c:f>
              <c:numCache>
                <c:formatCode>0.0</c:formatCode>
                <c:ptCount val="2"/>
                <c:pt idx="0">
                  <c:v>3.3902439024390243</c:v>
                </c:pt>
                <c:pt idx="1">
                  <c:v>2.8852459016393444</c:v>
                </c:pt>
              </c:numCache>
            </c:numRef>
          </c:val>
          <c:extLst>
            <c:ext xmlns:c16="http://schemas.microsoft.com/office/drawing/2014/chart" uri="{C3380CC4-5D6E-409C-BE32-E72D297353CC}">
              <c16:uniqueId val="{00000000-7A2B-4098-B3D2-9563B07F050A}"/>
            </c:ext>
          </c:extLst>
        </c:ser>
        <c:dLbls>
          <c:dLblPos val="outEnd"/>
          <c:showLegendKey val="0"/>
          <c:showVal val="1"/>
          <c:showCatName val="0"/>
          <c:showSerName val="0"/>
          <c:showPercent val="0"/>
          <c:showBubbleSize val="0"/>
        </c:dLbls>
        <c:gapWidth val="219"/>
        <c:overlap val="-27"/>
        <c:axId val="213470591"/>
        <c:axId val="213478751"/>
      </c:barChart>
      <c:catAx>
        <c:axId val="21347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3478751"/>
        <c:crosses val="autoZero"/>
        <c:auto val="1"/>
        <c:lblAlgn val="ctr"/>
        <c:lblOffset val="100"/>
        <c:noMultiLvlLbl val="0"/>
      </c:catAx>
      <c:valAx>
        <c:axId val="213478751"/>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5B7472"/>
                </a:solidFill>
                <a:latin typeface="+mn-lt"/>
                <a:ea typeface="+mn-ea"/>
                <a:cs typeface="+mn-cs"/>
              </a:defRPr>
            </a:pPr>
            <a:endParaRPr lang="en-US"/>
          </a:p>
        </c:txPr>
        <c:crossAx val="213470591"/>
        <c:crosses val="autoZero"/>
        <c:crossBetween val="between"/>
        <c:majorUnit val="1"/>
        <c:minorUnit val="0.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[Cleaned_SleepData.xlsx]Pivot Table!PivotTable3</c:name>
    <c:fmtId val="18"/>
  </c:pivotSource>
  <c:chart>
    <c:title>
      <c:tx>
        <c:rich>
          <a:bodyPr rot="0" spcFirstLastPara="1" vertOverflow="ellipsis" vert="horz" wrap="square" anchor="ctr" anchorCtr="1"/>
          <a:lstStyle/>
          <a:p>
            <a:pPr>
              <a:defRPr sz="1600" b="1" i="0" u="none" strike="noStrike" kern="1200" baseline="0">
                <a:solidFill>
                  <a:srgbClr val="AADCD7"/>
                </a:solidFill>
                <a:latin typeface="+mn-lt"/>
                <a:ea typeface="+mn-ea"/>
                <a:cs typeface="+mn-cs"/>
              </a:defRPr>
            </a:pPr>
            <a:r>
              <a:rPr lang="en-IN" sz="1600" b="1" i="0" u="none" strike="noStrike" baseline="0">
                <a:solidFill>
                  <a:srgbClr val="AADCD7"/>
                </a:solidFill>
              </a:rPr>
              <a:t>Sleep Group vs Average Tiredness</a:t>
            </a:r>
            <a:endParaRPr lang="en-IN">
              <a:solidFill>
                <a:srgbClr val="AADCD7"/>
              </a:solidFill>
            </a:endParaRPr>
          </a:p>
        </c:rich>
      </c:tx>
      <c:overlay val="0"/>
      <c:spPr>
        <a:noFill/>
        <a:ln w="25400">
          <a:noFill/>
        </a:ln>
        <a:effectLst/>
      </c:spPr>
      <c:txPr>
        <a:bodyPr rot="0" spcFirstLastPara="1" vertOverflow="ellipsis" vert="horz" wrap="square" anchor="ctr" anchorCtr="1"/>
        <a:lstStyle/>
        <a:p>
          <a:pPr>
            <a:defRPr sz="1600" b="1" i="0" u="none" strike="noStrike" kern="1200" baseline="0">
              <a:solidFill>
                <a:srgbClr val="AADCD7"/>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
        <c:idx val="6"/>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
        <c:idx val="7"/>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'Pivot Table'!$B$11</c:f>
              <c:strCache>
                <c:ptCount val="1"/>
                <c:pt idx="0">
                  <c:v>Total</c:v>
                </c:pt>
              </c:strCache>
            </c:strRef>
          </c:tx>
          <c:spPr>
            <a:gradFill rotWithShape="1">
              <a:gsLst>
                <a:gs pos="0">
                  <a:srgbClr val="AADCD7">
                    <a:alpha val="22000"/>
                  </a:srgbClr>
                </a:gs>
                <a:gs pos="88000">
                  <a:srgbClr val="AADCD7">
                    <a:alpha val="70000"/>
                    <a:lumMod val="70000"/>
                  </a:srgbClr>
                </a:gs>
              </a:gsLst>
              <a:lin ang="5400000" scaled="1"/>
            </a:gradFill>
            <a:ln>
              <a:solidFill>
                <a:srgbClr val="548235"/>
              </a:solidFill>
              <a:prstDash val="solid"/>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3"/>
                <c:pt idx="0">
                  <c:v>≤5 hours</c:v>
                </c:pt>
                <c:pt idx="1">
                  <c:v>6–7 hours</c:v>
                </c:pt>
                <c:pt idx="2">
                  <c:v>≥8 hours</c:v>
                </c:pt>
              </c:strCache>
            </c:strRef>
          </c:cat>
          <c:val>
            <c:numRef>
              <c:f>'Pivot Table'!$B$12:$B$15</c:f>
              <c:numCache>
                <c:formatCode>0.0</c:formatCode>
                <c:ptCount val="3"/>
                <c:pt idx="0">
                  <c:v>3.4444444444444446</c:v>
                </c:pt>
                <c:pt idx="1">
                  <c:v>3.0508474576271185</c:v>
                </c:pt>
                <c:pt idx="2">
                  <c:v>2.92</c:v>
                </c:pt>
              </c:numCache>
            </c:numRef>
          </c:val>
          <c:extLst>
            <c:ext xmlns:c16="http://schemas.microsoft.com/office/drawing/2014/chart" uri="{C3380CC4-5D6E-409C-BE32-E72D297353CC}">
              <c16:uniqueId val="{00000000-D0A2-428E-AFCF-3FF616DC1E22}"/>
            </c:ext>
          </c:extLst>
        </c:ser>
        <c:dLbls>
          <c:dLblPos val="outEnd"/>
          <c:showLegendKey val="0"/>
          <c:showVal val="1"/>
          <c:showCatName val="0"/>
          <c:showSerName val="0"/>
          <c:showPercent val="0"/>
          <c:showBubbleSize val="0"/>
        </c:dLbls>
        <c:gapWidth val="100"/>
        <c:overlap val="-24"/>
        <c:axId val="2090568688"/>
        <c:axId val="2090552368"/>
      </c:barChart>
      <c:catAx>
        <c:axId val="20905686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AADCD7"/>
                </a:solidFill>
                <a:latin typeface="+mn-lt"/>
                <a:ea typeface="+mn-ea"/>
                <a:cs typeface="+mn-cs"/>
              </a:defRPr>
            </a:pPr>
            <a:endParaRPr lang="en-US"/>
          </a:p>
        </c:txPr>
        <c:crossAx val="2090552368"/>
        <c:crosses val="autoZero"/>
        <c:auto val="1"/>
        <c:lblAlgn val="ctr"/>
        <c:lblOffset val="100"/>
        <c:noMultiLvlLbl val="0"/>
      </c:catAx>
      <c:valAx>
        <c:axId val="2090552368"/>
        <c:scaling>
          <c:orientation val="minMax"/>
          <c:max val="5"/>
          <c:min val="0"/>
        </c:scaling>
        <c:delete val="0"/>
        <c:axPos val="l"/>
        <c:majorGridlines>
          <c:spPr>
            <a:ln w="9525" cap="flat" cmpd="sng" algn="ctr">
              <a:solidFill>
                <a:schemeClr val="tx1">
                  <a:lumMod val="75000"/>
                  <a:lumOff val="2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solidFill>
                    <a:srgbClr val="AADCD7"/>
                  </a:solidFill>
                </a:ln>
                <a:solidFill>
                  <a:srgbClr val="AADCD7"/>
                </a:solidFill>
                <a:latin typeface="+mn-lt"/>
                <a:ea typeface="+mn-ea"/>
                <a:cs typeface="+mn-cs"/>
              </a:defRPr>
            </a:pPr>
            <a:endParaRPr lang="en-US"/>
          </a:p>
        </c:txPr>
        <c:crossAx val="2090568688"/>
        <c:crosses val="autoZero"/>
        <c:crossBetween val="between"/>
        <c:majorUnit val="1"/>
        <c:minorUnit val="0.5"/>
      </c:valAx>
      <c:spPr>
        <a:noFill/>
        <a:ln>
          <a:solidFill>
            <a:schemeClr val="tx1">
              <a:lumMod val="75000"/>
              <a:lumOff val="2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75000"/>
          <a:lumOff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0070C0"/>
                </a:solidFill>
                <a:latin typeface="+mn-lt"/>
                <a:ea typeface="+mn-ea"/>
                <a:cs typeface="+mn-cs"/>
              </a:defRPr>
            </a:pPr>
            <a:r>
              <a:rPr lang="en-US"/>
              <a:t>Sleep Hours vs Tiredness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0070C0"/>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8"/>
            <c:spPr>
              <a:solidFill>
                <a:schemeClr val="accent1"/>
              </a:solidFill>
              <a:ln w="9525">
                <a:solidFill>
                  <a:schemeClr val="accent1"/>
                </a:solidFill>
              </a:ln>
              <a:effectLst/>
            </c:spPr>
          </c:marker>
          <c:xVal>
            <c:numRef>
              <c:f>'Pivot Table'!$J$8:$J$15</c:f>
              <c:numCache>
                <c:formatCode>General</c:formatCode>
                <c:ptCount val="8"/>
                <c:pt idx="0">
                  <c:v>2</c:v>
                </c:pt>
                <c:pt idx="1">
                  <c:v>4</c:v>
                </c:pt>
                <c:pt idx="2">
                  <c:v>5</c:v>
                </c:pt>
                <c:pt idx="3">
                  <c:v>6</c:v>
                </c:pt>
                <c:pt idx="4">
                  <c:v>7</c:v>
                </c:pt>
                <c:pt idx="5">
                  <c:v>8</c:v>
                </c:pt>
                <c:pt idx="6">
                  <c:v>9</c:v>
                </c:pt>
                <c:pt idx="7">
                  <c:v>10</c:v>
                </c:pt>
              </c:numCache>
            </c:numRef>
          </c:xVal>
          <c:yVal>
            <c:numRef>
              <c:f>'Pivot Table'!$K$8:$K$15</c:f>
              <c:numCache>
                <c:formatCode>0</c:formatCode>
                <c:ptCount val="8"/>
                <c:pt idx="0" formatCode="General">
                  <c:v>5</c:v>
                </c:pt>
                <c:pt idx="1">
                  <c:v>2.75</c:v>
                </c:pt>
                <c:pt idx="2">
                  <c:v>3.4166666666666665</c:v>
                </c:pt>
                <c:pt idx="3">
                  <c:v>3.1666666666666665</c:v>
                </c:pt>
                <c:pt idx="4">
                  <c:v>2.9714285714285715</c:v>
                </c:pt>
                <c:pt idx="5">
                  <c:v>2.8125</c:v>
                </c:pt>
                <c:pt idx="6" formatCode="General">
                  <c:v>3</c:v>
                </c:pt>
                <c:pt idx="7" formatCode="General">
                  <c:v>4</c:v>
                </c:pt>
              </c:numCache>
            </c:numRef>
          </c:yVal>
          <c:smooth val="0"/>
          <c:extLst>
            <c:ext xmlns:c16="http://schemas.microsoft.com/office/drawing/2014/chart" uri="{C3380CC4-5D6E-409C-BE32-E72D297353CC}">
              <c16:uniqueId val="{00000000-82E3-4543-949E-92AA10810CF1}"/>
            </c:ext>
          </c:extLst>
        </c:ser>
        <c:dLbls>
          <c:showLegendKey val="0"/>
          <c:showVal val="0"/>
          <c:showCatName val="0"/>
          <c:showSerName val="0"/>
          <c:showPercent val="0"/>
          <c:showBubbleSize val="0"/>
        </c:dLbls>
        <c:axId val="1646520840"/>
        <c:axId val="1646524424"/>
      </c:scatterChart>
      <c:valAx>
        <c:axId val="1646520840"/>
        <c:scaling>
          <c:orientation val="minMax"/>
          <c:max val="10"/>
        </c:scaling>
        <c:delete val="0"/>
        <c:axPos val="b"/>
        <c:majorGridlines>
          <c:spPr>
            <a:ln w="9525" cap="flat" cmpd="sng" algn="ctr">
              <a:solidFill>
                <a:srgbClr val="404040"/>
              </a:solidFill>
              <a:prstDash val="solid"/>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rgbClr val="0070C0"/>
                </a:solidFill>
                <a:latin typeface="+mn-lt"/>
                <a:ea typeface="+mn-ea"/>
                <a:cs typeface="+mn-cs"/>
              </a:defRPr>
            </a:pPr>
            <a:endParaRPr lang="en-US"/>
          </a:p>
        </c:txPr>
        <c:crossAx val="1646524424"/>
        <c:crosses val="autoZero"/>
        <c:crossBetween val="midCat"/>
        <c:majorUnit val="1"/>
      </c:valAx>
      <c:valAx>
        <c:axId val="1646524424"/>
        <c:scaling>
          <c:orientation val="minMax"/>
          <c:max val="5"/>
        </c:scaling>
        <c:delete val="0"/>
        <c:axPos val="l"/>
        <c:majorGridlines>
          <c:spPr>
            <a:ln w="9525" cap="flat" cmpd="sng" algn="ctr">
              <a:solidFill>
                <a:srgbClr val="404040"/>
              </a:solidFill>
              <a:prstDash val="solid"/>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rgbClr val="0070C0"/>
                </a:solidFill>
                <a:latin typeface="+mn-lt"/>
                <a:ea typeface="+mn-ea"/>
                <a:cs typeface="+mn-cs"/>
              </a:defRPr>
            </a:pPr>
            <a:endParaRPr lang="en-US"/>
          </a:p>
        </c:txPr>
        <c:crossAx val="1646520840"/>
        <c:crosses val="autoZero"/>
        <c:crossBetween val="midCat"/>
        <c:majorUnit val="1"/>
      </c:valAx>
      <c:spPr>
        <a:noFill/>
        <a:ln>
          <a:noFill/>
        </a:ln>
        <a:effectLst/>
      </c:spPr>
    </c:plotArea>
    <c:plotVisOnly val="0"/>
    <c:dispBlanksAs val="span"/>
    <c:showDLblsOverMax val="0"/>
  </c:chart>
  <c:spPr>
    <a:no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21</xdr:col>
      <xdr:colOff>381000</xdr:colOff>
      <xdr:row>27</xdr:row>
      <xdr:rowOff>9525</xdr:rowOff>
    </xdr:from>
    <xdr:to>
      <xdr:col>30</xdr:col>
      <xdr:colOff>600075</xdr:colOff>
      <xdr:row>43</xdr:row>
      <xdr:rowOff>57150</xdr:rowOff>
    </xdr:to>
    <xdr:sp macro="" textlink="">
      <xdr:nvSpPr>
        <xdr:cNvPr id="11" name="Rectangle: Rounded Corners 10">
          <a:extLst>
            <a:ext uri="{FF2B5EF4-FFF2-40B4-BE49-F238E27FC236}">
              <a16:creationId xmlns:a16="http://schemas.microsoft.com/office/drawing/2014/main" id="{4B1AF52F-EDAC-4EEC-9146-9116852BC41C}"/>
            </a:ext>
            <a:ext uri="{147F2762-F138-4A5C-976F-8EAC2B608ADB}">
              <a16:predDERef xmlns:a16="http://schemas.microsoft.com/office/drawing/2014/main" pred="{A6F463E1-EA39-26AC-F482-90F20E78CC2B}"/>
            </a:ext>
          </a:extLst>
        </xdr:cNvPr>
        <xdr:cNvSpPr/>
      </xdr:nvSpPr>
      <xdr:spPr>
        <a:xfrm>
          <a:off x="13182600" y="4972050"/>
          <a:ext cx="5705475" cy="294322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504825</xdr:colOff>
      <xdr:row>26</xdr:row>
      <xdr:rowOff>85725</xdr:rowOff>
    </xdr:from>
    <xdr:to>
      <xdr:col>14</xdr:col>
      <xdr:colOff>438150</xdr:colOff>
      <xdr:row>43</xdr:row>
      <xdr:rowOff>123825</xdr:rowOff>
    </xdr:to>
    <xdr:sp macro="" textlink="">
      <xdr:nvSpPr>
        <xdr:cNvPr id="18" name="Rectangle: Rounded Corners 17">
          <a:extLst>
            <a:ext uri="{FF2B5EF4-FFF2-40B4-BE49-F238E27FC236}">
              <a16:creationId xmlns:a16="http://schemas.microsoft.com/office/drawing/2014/main" id="{EBCB463E-5509-49F2-AF73-06912FAC0DAC}"/>
            </a:ext>
            <a:ext uri="{147F2762-F138-4A5C-976F-8EAC2B608ADB}">
              <a16:predDERef xmlns:a16="http://schemas.microsoft.com/office/drawing/2014/main" pred="{FE854E2F-1F54-484B-881E-E0C02C6FAAAB}"/>
            </a:ext>
          </a:extLst>
        </xdr:cNvPr>
        <xdr:cNvSpPr/>
      </xdr:nvSpPr>
      <xdr:spPr>
        <a:xfrm>
          <a:off x="2943225" y="4867275"/>
          <a:ext cx="6029325" cy="311467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51868</xdr:colOff>
      <xdr:row>2</xdr:row>
      <xdr:rowOff>0</xdr:rowOff>
    </xdr:from>
    <xdr:to>
      <xdr:col>9</xdr:col>
      <xdr:colOff>550333</xdr:colOff>
      <xdr:row>16</xdr:row>
      <xdr:rowOff>56444</xdr:rowOff>
    </xdr:to>
    <xdr:sp macro="" textlink="">
      <xdr:nvSpPr>
        <xdr:cNvPr id="6" name="Rectangle: Rounded Corners 5">
          <a:extLst>
            <a:ext uri="{FF2B5EF4-FFF2-40B4-BE49-F238E27FC236}">
              <a16:creationId xmlns:a16="http://schemas.microsoft.com/office/drawing/2014/main" id="{B118AD66-A7EB-F176-E64A-330740210117}"/>
            </a:ext>
            <a:ext uri="{147F2762-F138-4A5C-976F-8EAC2B608ADB}">
              <a16:predDERef xmlns:a16="http://schemas.microsoft.com/office/drawing/2014/main" pred="{EBCB463E-5509-49F2-AF73-06912FAC0DAC}"/>
            </a:ext>
          </a:extLst>
        </xdr:cNvPr>
        <xdr:cNvSpPr/>
      </xdr:nvSpPr>
      <xdr:spPr>
        <a:xfrm>
          <a:off x="658646" y="3116629"/>
          <a:ext cx="5352687" cy="2626593"/>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142875</xdr:colOff>
      <xdr:row>25</xdr:row>
      <xdr:rowOff>9525</xdr:rowOff>
    </xdr:from>
    <xdr:to>
      <xdr:col>21</xdr:col>
      <xdr:colOff>485775</xdr:colOff>
      <xdr:row>58</xdr:row>
      <xdr:rowOff>161925</xdr:rowOff>
    </xdr:to>
    <xdr:graphicFrame macro="">
      <xdr:nvGraphicFramePr>
        <xdr:cNvPr id="9" name="Chart 8">
          <a:extLst>
            <a:ext uri="{FF2B5EF4-FFF2-40B4-BE49-F238E27FC236}">
              <a16:creationId xmlns:a16="http://schemas.microsoft.com/office/drawing/2014/main" id="{B76600E6-DDD0-4632-A4F5-2B4FC2755A09}"/>
            </a:ext>
            <a:ext uri="{147F2762-F138-4A5C-976F-8EAC2B608ADB}">
              <a16:predDERef xmlns:a16="http://schemas.microsoft.com/office/drawing/2014/main" pred="{B118AD66-A7EB-F176-E64A-3307402101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66675</xdr:colOff>
      <xdr:row>27</xdr:row>
      <xdr:rowOff>0</xdr:rowOff>
    </xdr:from>
    <xdr:to>
      <xdr:col>4</xdr:col>
      <xdr:colOff>352425</xdr:colOff>
      <xdr:row>37</xdr:row>
      <xdr:rowOff>19050</xdr:rowOff>
    </xdr:to>
    <mc:AlternateContent xmlns:mc="http://schemas.openxmlformats.org/markup-compatibility/2006" xmlns:a14="http://schemas.microsoft.com/office/drawing/2010/main">
      <mc:Choice Requires="a14">
        <xdr:graphicFrame macro="">
          <xdr:nvGraphicFramePr>
            <xdr:cNvPr id="17" name="Sleep_Group">
              <a:extLst>
                <a:ext uri="{FF2B5EF4-FFF2-40B4-BE49-F238E27FC236}">
                  <a16:creationId xmlns:a16="http://schemas.microsoft.com/office/drawing/2014/main" id="{E14F13EB-5DA6-4DCD-8AC9-97632AD30F5A}"/>
                </a:ext>
                <a:ext uri="{147F2762-F138-4A5C-976F-8EAC2B608ADB}">
                  <a16:predDERef xmlns:a16="http://schemas.microsoft.com/office/drawing/2014/main" pred="{B76600E6-DDD0-4632-A4F5-2B4FC2755A09}"/>
                </a:ext>
              </a:extLst>
            </xdr:cNvPr>
            <xdr:cNvGraphicFramePr/>
          </xdr:nvGraphicFramePr>
          <xdr:xfrm>
            <a:off x="0" y="0"/>
            <a:ext cx="0" cy="0"/>
          </xdr:xfrm>
          <a:graphic>
            <a:graphicData uri="http://schemas.microsoft.com/office/drawing/2010/slicer">
              <sle:slicer xmlns:sle="http://schemas.microsoft.com/office/drawing/2010/slicer" name="Sleep_Group"/>
            </a:graphicData>
          </a:graphic>
        </xdr:graphicFrame>
      </mc:Choice>
      <mc:Fallback xmlns="">
        <xdr:sp macro="" textlink="">
          <xdr:nvSpPr>
            <xdr:cNvPr id="0" name=""/>
            <xdr:cNvSpPr>
              <a:spLocks noTextEdit="1"/>
            </xdr:cNvSpPr>
          </xdr:nvSpPr>
          <xdr:spPr>
            <a:xfrm>
              <a:off x="1710972" y="5150924"/>
              <a:ext cx="3520994" cy="3464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495300</xdr:colOff>
      <xdr:row>44</xdr:row>
      <xdr:rowOff>104775</xdr:rowOff>
    </xdr:from>
    <xdr:to>
      <xdr:col>14</xdr:col>
      <xdr:colOff>542925</xdr:colOff>
      <xdr:row>61</xdr:row>
      <xdr:rowOff>95250</xdr:rowOff>
    </xdr:to>
    <xdr:sp macro="" textlink="">
      <xdr:nvSpPr>
        <xdr:cNvPr id="12" name="Rectangle: Rounded Corners 11">
          <a:extLst>
            <a:ext uri="{FF2B5EF4-FFF2-40B4-BE49-F238E27FC236}">
              <a16:creationId xmlns:a16="http://schemas.microsoft.com/office/drawing/2014/main" id="{6EB60508-D917-4BDD-A3DA-825BF307D28E}"/>
            </a:ext>
            <a:ext uri="{147F2762-F138-4A5C-976F-8EAC2B608ADB}">
              <a16:predDERef xmlns:a16="http://schemas.microsoft.com/office/drawing/2014/main" pred="{E14F13EB-5DA6-4DCD-8AC9-97632AD30F5A}"/>
            </a:ext>
          </a:extLst>
        </xdr:cNvPr>
        <xdr:cNvSpPr/>
      </xdr:nvSpPr>
      <xdr:spPr>
        <a:xfrm>
          <a:off x="2933700" y="8143875"/>
          <a:ext cx="6143625" cy="3067050"/>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333375</xdr:colOff>
      <xdr:row>45</xdr:row>
      <xdr:rowOff>9525</xdr:rowOff>
    </xdr:from>
    <xdr:to>
      <xdr:col>31</xdr:col>
      <xdr:colOff>161925</xdr:colOff>
      <xdr:row>61</xdr:row>
      <xdr:rowOff>57150</xdr:rowOff>
    </xdr:to>
    <xdr:sp macro="" textlink="">
      <xdr:nvSpPr>
        <xdr:cNvPr id="13" name="Rectangle: Rounded Corners 12">
          <a:extLst>
            <a:ext uri="{FF2B5EF4-FFF2-40B4-BE49-F238E27FC236}">
              <a16:creationId xmlns:a16="http://schemas.microsoft.com/office/drawing/2014/main" id="{1C79E821-9FC6-4F08-9283-A045934B8CB0}"/>
            </a:ext>
            <a:ext uri="{147F2762-F138-4A5C-976F-8EAC2B608ADB}">
              <a16:predDERef xmlns:a16="http://schemas.microsoft.com/office/drawing/2014/main" pred="{6EB60508-D917-4BDD-A3DA-825BF307D28E}"/>
            </a:ext>
          </a:extLst>
        </xdr:cNvPr>
        <xdr:cNvSpPr/>
      </xdr:nvSpPr>
      <xdr:spPr>
        <a:xfrm>
          <a:off x="13134975" y="8229600"/>
          <a:ext cx="5924550" cy="2943225"/>
        </a:xfrm>
        <a:prstGeom prst="roundRect">
          <a:avLst/>
        </a:prstGeom>
        <a:gradFill>
          <a:gsLst>
            <a:gs pos="0">
              <a:schemeClr val="tx1">
                <a:lumMod val="85000"/>
                <a:lumOff val="15000"/>
              </a:schemeClr>
            </a:gs>
            <a:gs pos="88000">
              <a:schemeClr val="bg2">
                <a:lumMod val="25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180975</xdr:colOff>
      <xdr:row>46</xdr:row>
      <xdr:rowOff>161925</xdr:rowOff>
    </xdr:from>
    <xdr:to>
      <xdr:col>14</xdr:col>
      <xdr:colOff>247650</xdr:colOff>
      <xdr:row>60</xdr:row>
      <xdr:rowOff>95250</xdr:rowOff>
    </xdr:to>
    <xdr:graphicFrame macro="">
      <xdr:nvGraphicFramePr>
        <xdr:cNvPr id="14" name="Chart 13">
          <a:extLst>
            <a:ext uri="{FF2B5EF4-FFF2-40B4-BE49-F238E27FC236}">
              <a16:creationId xmlns:a16="http://schemas.microsoft.com/office/drawing/2014/main" id="{A0A4FC5B-D68B-49FF-9848-236FE7352B9C}"/>
            </a:ext>
            <a:ext uri="{147F2762-F138-4A5C-976F-8EAC2B608ADB}">
              <a16:predDERef xmlns:a16="http://schemas.microsoft.com/office/drawing/2014/main" pred="{1C79E821-9FC6-4F08-9283-A045934B8C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85725</xdr:colOff>
      <xdr:row>47</xdr:row>
      <xdr:rowOff>28575</xdr:rowOff>
    </xdr:from>
    <xdr:to>
      <xdr:col>30</xdr:col>
      <xdr:colOff>419100</xdr:colOff>
      <xdr:row>60</xdr:row>
      <xdr:rowOff>76200</xdr:rowOff>
    </xdr:to>
    <xdr:graphicFrame macro="">
      <xdr:nvGraphicFramePr>
        <xdr:cNvPr id="15" name="Chart 14">
          <a:extLst>
            <a:ext uri="{FF2B5EF4-FFF2-40B4-BE49-F238E27FC236}">
              <a16:creationId xmlns:a16="http://schemas.microsoft.com/office/drawing/2014/main" id="{0A3B04BC-27D9-462F-B1A2-882BBA239BAE}"/>
            </a:ext>
            <a:ext uri="{147F2762-F138-4A5C-976F-8EAC2B608ADB}">
              <a16:predDERef xmlns:a16="http://schemas.microsoft.com/office/drawing/2014/main" pred="{A0A4FC5B-D68B-49FF-9848-236FE7352B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66675</xdr:colOff>
      <xdr:row>37</xdr:row>
      <xdr:rowOff>57150</xdr:rowOff>
    </xdr:from>
    <xdr:to>
      <xdr:col>4</xdr:col>
      <xdr:colOff>342900</xdr:colOff>
      <xdr:row>43</xdr:row>
      <xdr:rowOff>104775</xdr:rowOff>
    </xdr:to>
    <mc:AlternateContent xmlns:mc="http://schemas.openxmlformats.org/markup-compatibility/2006" xmlns:a14="http://schemas.microsoft.com/office/drawing/2010/main">
      <mc:Choice Requires="a14">
        <xdr:graphicFrame macro="">
          <xdr:nvGraphicFramePr>
            <xdr:cNvPr id="19" name="Breakfast">
              <a:extLst>
                <a:ext uri="{FF2B5EF4-FFF2-40B4-BE49-F238E27FC236}">
                  <a16:creationId xmlns:a16="http://schemas.microsoft.com/office/drawing/2014/main" id="{36A80888-585B-4104-9240-25ED7FB12EBA}"/>
                </a:ext>
                <a:ext uri="{147F2762-F138-4A5C-976F-8EAC2B608ADB}">
                  <a16:predDERef xmlns:a16="http://schemas.microsoft.com/office/drawing/2014/main" pred="{0A3B04BC-27D9-462F-B1A2-882BBA239BAE}"/>
                </a:ext>
              </a:extLst>
            </xdr:cNvPr>
            <xdr:cNvGraphicFramePr/>
          </xdr:nvGraphicFramePr>
          <xdr:xfrm>
            <a:off x="0" y="0"/>
            <a:ext cx="0" cy="0"/>
          </xdr:xfrm>
          <a:graphic>
            <a:graphicData uri="http://schemas.microsoft.com/office/drawing/2010/slicer">
              <sle:slicer xmlns:sle="http://schemas.microsoft.com/office/drawing/2010/slicer" name="Breakfast"/>
            </a:graphicData>
          </a:graphic>
        </xdr:graphicFrame>
      </mc:Choice>
      <mc:Fallback xmlns="">
        <xdr:sp macro="" textlink="">
          <xdr:nvSpPr>
            <xdr:cNvPr id="0" name=""/>
            <xdr:cNvSpPr>
              <a:spLocks noTextEdit="1"/>
            </xdr:cNvSpPr>
          </xdr:nvSpPr>
          <xdr:spPr>
            <a:xfrm>
              <a:off x="11456316" y="7896060"/>
              <a:ext cx="2094333" cy="3317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44</xdr:row>
      <xdr:rowOff>0</xdr:rowOff>
    </xdr:from>
    <xdr:to>
      <xdr:col>4</xdr:col>
      <xdr:colOff>342900</xdr:colOff>
      <xdr:row>50</xdr:row>
      <xdr:rowOff>19050</xdr:rowOff>
    </xdr:to>
    <mc:AlternateContent xmlns:mc="http://schemas.openxmlformats.org/markup-compatibility/2006" xmlns:a14="http://schemas.microsoft.com/office/drawing/2010/main">
      <mc:Choice Requires="a14">
        <xdr:graphicFrame macro="">
          <xdr:nvGraphicFramePr>
            <xdr:cNvPr id="20" name="Phone_Usage">
              <a:extLst>
                <a:ext uri="{FF2B5EF4-FFF2-40B4-BE49-F238E27FC236}">
                  <a16:creationId xmlns:a16="http://schemas.microsoft.com/office/drawing/2014/main" id="{16A78DB5-E2DB-4B36-9166-C34B20908BE5}"/>
                </a:ext>
                <a:ext uri="{147F2762-F138-4A5C-976F-8EAC2B608ADB}">
                  <a16:predDERef xmlns:a16="http://schemas.microsoft.com/office/drawing/2014/main" pred="{36A80888-585B-4104-9240-25ED7FB12EBA}"/>
                </a:ext>
              </a:extLst>
            </xdr:cNvPr>
            <xdr:cNvGraphicFramePr/>
          </xdr:nvGraphicFramePr>
          <xdr:xfrm>
            <a:off x="0" y="0"/>
            <a:ext cx="0" cy="0"/>
          </xdr:xfrm>
          <a:graphic>
            <a:graphicData uri="http://schemas.microsoft.com/office/drawing/2010/slicer">
              <sle:slicer xmlns:sle="http://schemas.microsoft.com/office/drawing/2010/slicer" name="Phone_Usage"/>
            </a:graphicData>
          </a:graphic>
        </xdr:graphicFrame>
      </mc:Choice>
      <mc:Fallback xmlns="">
        <xdr:sp macro="" textlink="">
          <xdr:nvSpPr>
            <xdr:cNvPr id="0" name=""/>
            <xdr:cNvSpPr>
              <a:spLocks noTextEdit="1"/>
            </xdr:cNvSpPr>
          </xdr:nvSpPr>
          <xdr:spPr>
            <a:xfrm>
              <a:off x="2225612" y="7937500"/>
              <a:ext cx="2317079" cy="349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419100</xdr:colOff>
      <xdr:row>2</xdr:row>
      <xdr:rowOff>133350</xdr:rowOff>
    </xdr:from>
    <xdr:to>
      <xdr:col>28</xdr:col>
      <xdr:colOff>409575</xdr:colOff>
      <xdr:row>7</xdr:row>
      <xdr:rowOff>57150</xdr:rowOff>
    </xdr:to>
    <xdr:sp macro="" textlink="">
      <xdr:nvSpPr>
        <xdr:cNvPr id="8" name="TextBox 7">
          <a:extLst>
            <a:ext uri="{FF2B5EF4-FFF2-40B4-BE49-F238E27FC236}">
              <a16:creationId xmlns:a16="http://schemas.microsoft.com/office/drawing/2014/main" id="{C23C4240-86FC-8632-0FAE-FF8F1DEA9A8E}"/>
            </a:ext>
            <a:ext uri="{147F2762-F138-4A5C-976F-8EAC2B608ADB}">
              <a16:predDERef xmlns:a16="http://schemas.microsoft.com/office/drawing/2014/main" pred="{16A78DB5-E2DB-4B36-9166-C34B20908BE5}"/>
            </a:ext>
          </a:extLst>
        </xdr:cNvPr>
        <xdr:cNvSpPr txBox="1"/>
      </xdr:nvSpPr>
      <xdr:spPr>
        <a:xfrm>
          <a:off x="5295900" y="495300"/>
          <a:ext cx="12182475" cy="82867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4800" b="1" i="0" u="none" strike="noStrike">
              <a:solidFill>
                <a:srgbClr val="8760DC"/>
              </a:solidFill>
              <a:latin typeface="Constantia" panose="02030602050306030303" pitchFamily="18" charset="0"/>
            </a:rPr>
            <a:t>Sleep Pattern &amp; Lifestyle Analysis</a:t>
          </a:r>
        </a:p>
      </xdr:txBody>
    </xdr:sp>
    <xdr:clientData/>
  </xdr:twoCellAnchor>
  <xdr:twoCellAnchor>
    <xdr:from>
      <xdr:col>6</xdr:col>
      <xdr:colOff>114300</xdr:colOff>
      <xdr:row>11</xdr:row>
      <xdr:rowOff>85725</xdr:rowOff>
    </xdr:from>
    <xdr:to>
      <xdr:col>14</xdr:col>
      <xdr:colOff>447675</xdr:colOff>
      <xdr:row>15</xdr:row>
      <xdr:rowOff>57150</xdr:rowOff>
    </xdr:to>
    <xdr:sp macro="" textlink="">
      <xdr:nvSpPr>
        <xdr:cNvPr id="10" name="TextBox 9">
          <a:extLst>
            <a:ext uri="{FF2B5EF4-FFF2-40B4-BE49-F238E27FC236}">
              <a16:creationId xmlns:a16="http://schemas.microsoft.com/office/drawing/2014/main" id="{A4858D8E-79BB-14F4-4C8D-5F8ECCDA674F}"/>
            </a:ext>
            <a:ext uri="{147F2762-F138-4A5C-976F-8EAC2B608ADB}">
              <a16:predDERef xmlns:a16="http://schemas.microsoft.com/office/drawing/2014/main" pred="{C23C4240-86FC-8632-0FAE-FF8F1DEA9A8E}"/>
            </a:ext>
          </a:extLst>
        </xdr:cNvPr>
        <xdr:cNvSpPr txBox="1"/>
      </xdr:nvSpPr>
      <xdr:spPr>
        <a:xfrm>
          <a:off x="3771900" y="2085975"/>
          <a:ext cx="5210175" cy="69532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3600" b="1" u="none" strike="noStrike">
              <a:solidFill>
                <a:schemeClr val="bg1"/>
              </a:solidFill>
              <a:latin typeface="Candara" panose="020E0502030303020204" pitchFamily="34" charset="0"/>
            </a:rPr>
            <a:t>Average Sleep Hour</a:t>
          </a:r>
        </a:p>
      </xdr:txBody>
    </xdr:sp>
    <xdr:clientData/>
  </xdr:twoCellAnchor>
  <xdr:twoCellAnchor>
    <xdr:from>
      <xdr:col>21</xdr:col>
      <xdr:colOff>114300</xdr:colOff>
      <xdr:row>11</xdr:row>
      <xdr:rowOff>85725</xdr:rowOff>
    </xdr:from>
    <xdr:to>
      <xdr:col>29</xdr:col>
      <xdr:colOff>447675</xdr:colOff>
      <xdr:row>15</xdr:row>
      <xdr:rowOff>57150</xdr:rowOff>
    </xdr:to>
    <xdr:sp macro="" textlink="">
      <xdr:nvSpPr>
        <xdr:cNvPr id="29" name="TextBox 9">
          <a:extLst>
            <a:ext uri="{FF2B5EF4-FFF2-40B4-BE49-F238E27FC236}">
              <a16:creationId xmlns:a16="http://schemas.microsoft.com/office/drawing/2014/main" id="{2D88F294-0305-4AA9-8A3C-3DFA18303201}"/>
            </a:ext>
            <a:ext uri="{147F2762-F138-4A5C-976F-8EAC2B608ADB}">
              <a16:predDERef xmlns:a16="http://schemas.microsoft.com/office/drawing/2014/main" pred="{A4858D8E-79BB-14F4-4C8D-5F8ECCDA674F}"/>
            </a:ext>
          </a:extLst>
        </xdr:cNvPr>
        <xdr:cNvSpPr txBox="1"/>
      </xdr:nvSpPr>
      <xdr:spPr>
        <a:xfrm>
          <a:off x="3771900" y="2095500"/>
          <a:ext cx="5210175" cy="695325"/>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ctr"/>
          <a:r>
            <a:rPr lang="en-US" sz="3600" b="1" u="none" strike="noStrike">
              <a:solidFill>
                <a:schemeClr val="bg1"/>
              </a:solidFill>
              <a:latin typeface="Candara" panose="020E0502030303020204" pitchFamily="34" charset="0"/>
            </a:rPr>
            <a:t>Average</a:t>
          </a:r>
          <a:r>
            <a:rPr lang="en-US" sz="3600" b="1" i="0" u="none" strike="noStrike">
              <a:solidFill>
                <a:schemeClr val="bg1"/>
              </a:solidFill>
              <a:latin typeface="Candara" panose="020E0502030303020204" pitchFamily="34" charset="0"/>
            </a:rPr>
            <a:t> Tiredness Level</a:t>
          </a:r>
        </a:p>
      </xdr:txBody>
    </xdr:sp>
    <xdr:clientData/>
  </xdr:twoCellAnchor>
  <xdr:twoCellAnchor>
    <xdr:from>
      <xdr:col>5</xdr:col>
      <xdr:colOff>133350</xdr:colOff>
      <xdr:row>27</xdr:row>
      <xdr:rowOff>85725</xdr:rowOff>
    </xdr:from>
    <xdr:to>
      <xdr:col>14</xdr:col>
      <xdr:colOff>209550</xdr:colOff>
      <xdr:row>42</xdr:row>
      <xdr:rowOff>28575</xdr:rowOff>
    </xdr:to>
    <xdr:graphicFrame macro="">
      <xdr:nvGraphicFramePr>
        <xdr:cNvPr id="7" name="Chart 6">
          <a:extLst>
            <a:ext uri="{FF2B5EF4-FFF2-40B4-BE49-F238E27FC236}">
              <a16:creationId xmlns:a16="http://schemas.microsoft.com/office/drawing/2014/main" id="{4D457B23-B438-4891-8398-C40A6534C2BD}"/>
            </a:ext>
            <a:ext uri="{147F2762-F138-4A5C-976F-8EAC2B608ADB}">
              <a16:predDERef xmlns:a16="http://schemas.microsoft.com/office/drawing/2014/main" pred="{2D88F294-0305-4AA9-8A3C-3DFA18303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590550</xdr:colOff>
      <xdr:row>27</xdr:row>
      <xdr:rowOff>28575</xdr:rowOff>
    </xdr:from>
    <xdr:to>
      <xdr:col>30</xdr:col>
      <xdr:colOff>466725</xdr:colOff>
      <xdr:row>42</xdr:row>
      <xdr:rowOff>57150</xdr:rowOff>
    </xdr:to>
    <xdr:graphicFrame macro="">
      <xdr:nvGraphicFramePr>
        <xdr:cNvPr id="3" name="Chart 2">
          <a:extLst>
            <a:ext uri="{FF2B5EF4-FFF2-40B4-BE49-F238E27FC236}">
              <a16:creationId xmlns:a16="http://schemas.microsoft.com/office/drawing/2014/main" id="{ABFDAFED-2216-437B-AE4B-5E328CC0D49B}"/>
            </a:ext>
            <a:ext uri="{147F2762-F138-4A5C-976F-8EAC2B608ADB}">
              <a16:predDERef xmlns:a16="http://schemas.microsoft.com/office/drawing/2014/main" pred="{F575431F-610D-4AF1-A7EA-6E2A575DB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522376388886" createdVersion="8" refreshedVersion="8" minRefreshableVersion="3" recordCount="102" xr:uid="{E46F2829-B276-43B7-AB5F-7902DD058B21}">
  <cacheSource type="worksheet">
    <worksheetSource name="Cleaned_Data"/>
  </cacheSource>
  <cacheFields count="7">
    <cacheField name="Enough_Sleep" numFmtId="0">
      <sharedItems count="2">
        <s v="Yes"/>
        <s v="No"/>
      </sharedItems>
    </cacheField>
    <cacheField name="Sleep_Hours" numFmtId="0">
      <sharedItems containsSemiMixedTypes="0" containsString="0" containsNumber="1" containsInteger="1" minValue="2" maxValue="10" count="8">
        <n v="8"/>
        <n v="6"/>
        <n v="7"/>
        <n v="4"/>
        <n v="10"/>
        <n v="9"/>
        <n v="2"/>
        <n v="5"/>
      </sharedItems>
    </cacheField>
    <cacheField name="Phone_Reach" numFmtId="0">
      <sharedItems count="2">
        <s v="Yes"/>
        <s v="No"/>
      </sharedItems>
    </cacheField>
    <cacheField name="Phone_Usage" numFmtId="0">
      <sharedItems count="2">
        <s v="Yes"/>
        <s v="No"/>
      </sharedItems>
    </cacheField>
    <cacheField name="Tired_Level" numFmtId="0">
      <sharedItems containsSemiMixedTypes="0" containsString="0" containsNumber="1" containsInteger="1" minValue="1" maxValue="5"/>
    </cacheField>
    <cacheField name="Breakfast" numFmtId="0">
      <sharedItems count="2">
        <s v="Yes"/>
        <s v="No"/>
      </sharedItems>
    </cacheField>
    <cacheField name="Sleep_Group" numFmtId="0">
      <sharedItems count="3">
        <s v="≥8 hours"/>
        <s v="6–7 hours"/>
        <s v="≤5 hours"/>
      </sharedItems>
    </cacheField>
  </cacheFields>
  <extLst>
    <ext xmlns:x14="http://schemas.microsoft.com/office/spreadsheetml/2009/9/main" uri="{725AE2AE-9491-48be-B2B4-4EB974FC3084}">
      <x14:pivotCacheDefinition pivotCacheId="14289037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x v="0"/>
    <x v="0"/>
    <n v="3"/>
    <x v="0"/>
    <x v="0"/>
  </r>
  <r>
    <x v="1"/>
    <x v="1"/>
    <x v="0"/>
    <x v="0"/>
    <n v="3"/>
    <x v="1"/>
    <x v="1"/>
  </r>
  <r>
    <x v="0"/>
    <x v="1"/>
    <x v="0"/>
    <x v="0"/>
    <n v="2"/>
    <x v="0"/>
    <x v="1"/>
  </r>
  <r>
    <x v="1"/>
    <x v="2"/>
    <x v="0"/>
    <x v="0"/>
    <n v="4"/>
    <x v="1"/>
    <x v="1"/>
  </r>
  <r>
    <x v="1"/>
    <x v="2"/>
    <x v="0"/>
    <x v="0"/>
    <n v="2"/>
    <x v="0"/>
    <x v="1"/>
  </r>
  <r>
    <x v="1"/>
    <x v="2"/>
    <x v="0"/>
    <x v="0"/>
    <n v="4"/>
    <x v="1"/>
    <x v="1"/>
  </r>
  <r>
    <x v="0"/>
    <x v="2"/>
    <x v="0"/>
    <x v="0"/>
    <n v="3"/>
    <x v="0"/>
    <x v="1"/>
  </r>
  <r>
    <x v="1"/>
    <x v="2"/>
    <x v="0"/>
    <x v="0"/>
    <n v="3"/>
    <x v="0"/>
    <x v="1"/>
  </r>
  <r>
    <x v="1"/>
    <x v="3"/>
    <x v="1"/>
    <x v="0"/>
    <n v="2"/>
    <x v="0"/>
    <x v="2"/>
  </r>
  <r>
    <x v="1"/>
    <x v="1"/>
    <x v="0"/>
    <x v="0"/>
    <n v="3"/>
    <x v="0"/>
    <x v="1"/>
  </r>
  <r>
    <x v="1"/>
    <x v="4"/>
    <x v="0"/>
    <x v="0"/>
    <n v="4"/>
    <x v="1"/>
    <x v="0"/>
  </r>
  <r>
    <x v="1"/>
    <x v="2"/>
    <x v="0"/>
    <x v="0"/>
    <n v="2"/>
    <x v="0"/>
    <x v="1"/>
  </r>
  <r>
    <x v="0"/>
    <x v="2"/>
    <x v="0"/>
    <x v="0"/>
    <n v="3"/>
    <x v="1"/>
    <x v="1"/>
  </r>
  <r>
    <x v="0"/>
    <x v="0"/>
    <x v="0"/>
    <x v="0"/>
    <n v="2"/>
    <x v="1"/>
    <x v="0"/>
  </r>
  <r>
    <x v="0"/>
    <x v="2"/>
    <x v="1"/>
    <x v="0"/>
    <n v="3"/>
    <x v="0"/>
    <x v="1"/>
  </r>
  <r>
    <x v="0"/>
    <x v="0"/>
    <x v="0"/>
    <x v="0"/>
    <n v="3"/>
    <x v="1"/>
    <x v="0"/>
  </r>
  <r>
    <x v="0"/>
    <x v="1"/>
    <x v="0"/>
    <x v="0"/>
    <n v="4"/>
    <x v="0"/>
    <x v="1"/>
  </r>
  <r>
    <x v="0"/>
    <x v="0"/>
    <x v="0"/>
    <x v="0"/>
    <n v="3"/>
    <x v="0"/>
    <x v="0"/>
  </r>
  <r>
    <x v="1"/>
    <x v="5"/>
    <x v="0"/>
    <x v="0"/>
    <n v="3"/>
    <x v="0"/>
    <x v="0"/>
  </r>
  <r>
    <x v="0"/>
    <x v="0"/>
    <x v="0"/>
    <x v="0"/>
    <n v="3"/>
    <x v="1"/>
    <x v="0"/>
  </r>
  <r>
    <x v="1"/>
    <x v="6"/>
    <x v="0"/>
    <x v="0"/>
    <n v="5"/>
    <x v="1"/>
    <x v="2"/>
  </r>
  <r>
    <x v="1"/>
    <x v="3"/>
    <x v="0"/>
    <x v="0"/>
    <n v="2"/>
    <x v="0"/>
    <x v="2"/>
  </r>
  <r>
    <x v="1"/>
    <x v="7"/>
    <x v="0"/>
    <x v="1"/>
    <n v="3"/>
    <x v="0"/>
    <x v="2"/>
  </r>
  <r>
    <x v="1"/>
    <x v="2"/>
    <x v="0"/>
    <x v="1"/>
    <n v="3"/>
    <x v="0"/>
    <x v="1"/>
  </r>
  <r>
    <x v="1"/>
    <x v="7"/>
    <x v="0"/>
    <x v="0"/>
    <n v="2"/>
    <x v="1"/>
    <x v="2"/>
  </r>
  <r>
    <x v="1"/>
    <x v="2"/>
    <x v="1"/>
    <x v="0"/>
    <n v="5"/>
    <x v="1"/>
    <x v="1"/>
  </r>
  <r>
    <x v="1"/>
    <x v="1"/>
    <x v="0"/>
    <x v="0"/>
    <n v="3"/>
    <x v="1"/>
    <x v="1"/>
  </r>
  <r>
    <x v="1"/>
    <x v="1"/>
    <x v="0"/>
    <x v="0"/>
    <n v="2"/>
    <x v="1"/>
    <x v="1"/>
  </r>
  <r>
    <x v="0"/>
    <x v="2"/>
    <x v="0"/>
    <x v="1"/>
    <n v="2"/>
    <x v="0"/>
    <x v="1"/>
  </r>
  <r>
    <x v="0"/>
    <x v="5"/>
    <x v="1"/>
    <x v="1"/>
    <n v="2"/>
    <x v="0"/>
    <x v="0"/>
  </r>
  <r>
    <x v="0"/>
    <x v="0"/>
    <x v="0"/>
    <x v="0"/>
    <n v="2"/>
    <x v="0"/>
    <x v="0"/>
  </r>
  <r>
    <x v="1"/>
    <x v="0"/>
    <x v="1"/>
    <x v="0"/>
    <n v="3"/>
    <x v="0"/>
    <x v="0"/>
  </r>
  <r>
    <x v="1"/>
    <x v="1"/>
    <x v="0"/>
    <x v="0"/>
    <n v="4"/>
    <x v="1"/>
    <x v="1"/>
  </r>
  <r>
    <x v="1"/>
    <x v="1"/>
    <x v="1"/>
    <x v="1"/>
    <n v="3"/>
    <x v="1"/>
    <x v="1"/>
  </r>
  <r>
    <x v="1"/>
    <x v="2"/>
    <x v="1"/>
    <x v="0"/>
    <n v="3"/>
    <x v="0"/>
    <x v="1"/>
  </r>
  <r>
    <x v="1"/>
    <x v="2"/>
    <x v="0"/>
    <x v="0"/>
    <n v="3"/>
    <x v="0"/>
    <x v="1"/>
  </r>
  <r>
    <x v="0"/>
    <x v="2"/>
    <x v="1"/>
    <x v="1"/>
    <n v="2"/>
    <x v="0"/>
    <x v="1"/>
  </r>
  <r>
    <x v="0"/>
    <x v="5"/>
    <x v="1"/>
    <x v="0"/>
    <n v="2"/>
    <x v="0"/>
    <x v="0"/>
  </r>
  <r>
    <x v="1"/>
    <x v="7"/>
    <x v="0"/>
    <x v="1"/>
    <n v="5"/>
    <x v="1"/>
    <x v="2"/>
  </r>
  <r>
    <x v="1"/>
    <x v="2"/>
    <x v="0"/>
    <x v="0"/>
    <n v="2"/>
    <x v="1"/>
    <x v="1"/>
  </r>
  <r>
    <x v="0"/>
    <x v="0"/>
    <x v="1"/>
    <x v="0"/>
    <n v="1"/>
    <x v="0"/>
    <x v="0"/>
  </r>
  <r>
    <x v="1"/>
    <x v="2"/>
    <x v="1"/>
    <x v="0"/>
    <n v="4"/>
    <x v="0"/>
    <x v="1"/>
  </r>
  <r>
    <x v="1"/>
    <x v="7"/>
    <x v="0"/>
    <x v="0"/>
    <n v="3"/>
    <x v="1"/>
    <x v="2"/>
  </r>
  <r>
    <x v="1"/>
    <x v="1"/>
    <x v="0"/>
    <x v="0"/>
    <n v="3"/>
    <x v="0"/>
    <x v="1"/>
  </r>
  <r>
    <x v="1"/>
    <x v="3"/>
    <x v="1"/>
    <x v="1"/>
    <n v="5"/>
    <x v="1"/>
    <x v="2"/>
  </r>
  <r>
    <x v="1"/>
    <x v="2"/>
    <x v="0"/>
    <x v="0"/>
    <n v="4"/>
    <x v="1"/>
    <x v="1"/>
  </r>
  <r>
    <x v="0"/>
    <x v="5"/>
    <x v="0"/>
    <x v="0"/>
    <n v="1"/>
    <x v="0"/>
    <x v="0"/>
  </r>
  <r>
    <x v="1"/>
    <x v="7"/>
    <x v="1"/>
    <x v="1"/>
    <n v="5"/>
    <x v="0"/>
    <x v="2"/>
  </r>
  <r>
    <x v="1"/>
    <x v="1"/>
    <x v="1"/>
    <x v="0"/>
    <n v="3"/>
    <x v="0"/>
    <x v="1"/>
  </r>
  <r>
    <x v="1"/>
    <x v="3"/>
    <x v="0"/>
    <x v="0"/>
    <n v="2"/>
    <x v="0"/>
    <x v="2"/>
  </r>
  <r>
    <x v="1"/>
    <x v="7"/>
    <x v="0"/>
    <x v="1"/>
    <n v="3"/>
    <x v="1"/>
    <x v="2"/>
  </r>
  <r>
    <x v="1"/>
    <x v="0"/>
    <x v="0"/>
    <x v="0"/>
    <n v="3"/>
    <x v="0"/>
    <x v="0"/>
  </r>
  <r>
    <x v="1"/>
    <x v="2"/>
    <x v="1"/>
    <x v="0"/>
    <n v="4"/>
    <x v="0"/>
    <x v="1"/>
  </r>
  <r>
    <x v="1"/>
    <x v="7"/>
    <x v="0"/>
    <x v="0"/>
    <n v="2"/>
    <x v="1"/>
    <x v="2"/>
  </r>
  <r>
    <x v="1"/>
    <x v="2"/>
    <x v="0"/>
    <x v="0"/>
    <n v="3"/>
    <x v="0"/>
    <x v="1"/>
  </r>
  <r>
    <x v="1"/>
    <x v="7"/>
    <x v="1"/>
    <x v="0"/>
    <n v="2"/>
    <x v="0"/>
    <x v="2"/>
  </r>
  <r>
    <x v="1"/>
    <x v="1"/>
    <x v="0"/>
    <x v="0"/>
    <n v="3"/>
    <x v="1"/>
    <x v="1"/>
  </r>
  <r>
    <x v="1"/>
    <x v="5"/>
    <x v="1"/>
    <x v="0"/>
    <n v="5"/>
    <x v="1"/>
    <x v="0"/>
  </r>
  <r>
    <x v="1"/>
    <x v="5"/>
    <x v="0"/>
    <x v="1"/>
    <n v="4"/>
    <x v="0"/>
    <x v="0"/>
  </r>
  <r>
    <x v="0"/>
    <x v="2"/>
    <x v="0"/>
    <x v="0"/>
    <n v="2"/>
    <x v="1"/>
    <x v="1"/>
  </r>
  <r>
    <x v="1"/>
    <x v="1"/>
    <x v="0"/>
    <x v="0"/>
    <n v="3"/>
    <x v="1"/>
    <x v="1"/>
  </r>
  <r>
    <x v="1"/>
    <x v="2"/>
    <x v="0"/>
    <x v="0"/>
    <n v="3"/>
    <x v="0"/>
    <x v="1"/>
  </r>
  <r>
    <x v="1"/>
    <x v="6"/>
    <x v="1"/>
    <x v="1"/>
    <n v="5"/>
    <x v="1"/>
    <x v="2"/>
  </r>
  <r>
    <x v="1"/>
    <x v="0"/>
    <x v="0"/>
    <x v="0"/>
    <n v="5"/>
    <x v="1"/>
    <x v="0"/>
  </r>
  <r>
    <x v="1"/>
    <x v="2"/>
    <x v="0"/>
    <x v="0"/>
    <n v="4"/>
    <x v="0"/>
    <x v="1"/>
  </r>
  <r>
    <x v="0"/>
    <x v="2"/>
    <x v="0"/>
    <x v="1"/>
    <n v="1"/>
    <x v="1"/>
    <x v="1"/>
  </r>
  <r>
    <x v="1"/>
    <x v="2"/>
    <x v="0"/>
    <x v="0"/>
    <n v="3"/>
    <x v="0"/>
    <x v="1"/>
  </r>
  <r>
    <x v="0"/>
    <x v="2"/>
    <x v="0"/>
    <x v="1"/>
    <n v="3"/>
    <x v="1"/>
    <x v="1"/>
  </r>
  <r>
    <x v="1"/>
    <x v="1"/>
    <x v="0"/>
    <x v="0"/>
    <n v="3"/>
    <x v="0"/>
    <x v="1"/>
  </r>
  <r>
    <x v="0"/>
    <x v="1"/>
    <x v="1"/>
    <x v="0"/>
    <n v="4"/>
    <x v="0"/>
    <x v="1"/>
  </r>
  <r>
    <x v="1"/>
    <x v="7"/>
    <x v="0"/>
    <x v="0"/>
    <n v="4"/>
    <x v="0"/>
    <x v="2"/>
  </r>
  <r>
    <x v="1"/>
    <x v="7"/>
    <x v="0"/>
    <x v="0"/>
    <n v="4"/>
    <x v="1"/>
    <x v="2"/>
  </r>
  <r>
    <x v="1"/>
    <x v="1"/>
    <x v="1"/>
    <x v="0"/>
    <n v="5"/>
    <x v="0"/>
    <x v="1"/>
  </r>
  <r>
    <x v="0"/>
    <x v="2"/>
    <x v="0"/>
    <x v="0"/>
    <n v="4"/>
    <x v="0"/>
    <x v="1"/>
  </r>
  <r>
    <x v="1"/>
    <x v="1"/>
    <x v="1"/>
    <x v="0"/>
    <n v="4"/>
    <x v="1"/>
    <x v="1"/>
  </r>
  <r>
    <x v="1"/>
    <x v="0"/>
    <x v="0"/>
    <x v="0"/>
    <n v="4"/>
    <x v="0"/>
    <x v="0"/>
  </r>
  <r>
    <x v="0"/>
    <x v="1"/>
    <x v="0"/>
    <x v="0"/>
    <n v="4"/>
    <x v="1"/>
    <x v="1"/>
  </r>
  <r>
    <x v="1"/>
    <x v="1"/>
    <x v="0"/>
    <x v="0"/>
    <n v="3"/>
    <x v="0"/>
    <x v="1"/>
  </r>
  <r>
    <x v="1"/>
    <x v="2"/>
    <x v="0"/>
    <x v="0"/>
    <n v="4"/>
    <x v="1"/>
    <x v="1"/>
  </r>
  <r>
    <x v="0"/>
    <x v="1"/>
    <x v="0"/>
    <x v="0"/>
    <n v="3"/>
    <x v="1"/>
    <x v="1"/>
  </r>
  <r>
    <x v="1"/>
    <x v="1"/>
    <x v="0"/>
    <x v="0"/>
    <n v="3"/>
    <x v="1"/>
    <x v="1"/>
  </r>
  <r>
    <x v="1"/>
    <x v="7"/>
    <x v="1"/>
    <x v="1"/>
    <n v="4"/>
    <x v="1"/>
    <x v="2"/>
  </r>
  <r>
    <x v="0"/>
    <x v="0"/>
    <x v="1"/>
    <x v="1"/>
    <n v="2"/>
    <x v="0"/>
    <x v="0"/>
  </r>
  <r>
    <x v="0"/>
    <x v="0"/>
    <x v="1"/>
    <x v="0"/>
    <n v="1"/>
    <x v="0"/>
    <x v="0"/>
  </r>
  <r>
    <x v="1"/>
    <x v="1"/>
    <x v="0"/>
    <x v="0"/>
    <n v="3"/>
    <x v="1"/>
    <x v="1"/>
  </r>
  <r>
    <x v="1"/>
    <x v="5"/>
    <x v="1"/>
    <x v="0"/>
    <n v="5"/>
    <x v="0"/>
    <x v="0"/>
  </r>
  <r>
    <x v="1"/>
    <x v="7"/>
    <x v="0"/>
    <x v="1"/>
    <n v="4"/>
    <x v="0"/>
    <x v="2"/>
  </r>
  <r>
    <x v="1"/>
    <x v="1"/>
    <x v="0"/>
    <x v="1"/>
    <n v="2"/>
    <x v="0"/>
    <x v="1"/>
  </r>
  <r>
    <x v="0"/>
    <x v="0"/>
    <x v="1"/>
    <x v="0"/>
    <n v="3"/>
    <x v="0"/>
    <x v="0"/>
  </r>
  <r>
    <x v="1"/>
    <x v="2"/>
    <x v="1"/>
    <x v="0"/>
    <n v="4"/>
    <x v="0"/>
    <x v="1"/>
  </r>
  <r>
    <x v="0"/>
    <x v="2"/>
    <x v="1"/>
    <x v="0"/>
    <n v="2"/>
    <x v="0"/>
    <x v="1"/>
  </r>
  <r>
    <x v="0"/>
    <x v="5"/>
    <x v="1"/>
    <x v="1"/>
    <n v="2"/>
    <x v="0"/>
    <x v="0"/>
  </r>
  <r>
    <x v="0"/>
    <x v="0"/>
    <x v="0"/>
    <x v="0"/>
    <n v="4"/>
    <x v="1"/>
    <x v="0"/>
  </r>
  <r>
    <x v="0"/>
    <x v="2"/>
    <x v="1"/>
    <x v="0"/>
    <n v="2"/>
    <x v="0"/>
    <x v="1"/>
  </r>
  <r>
    <x v="1"/>
    <x v="2"/>
    <x v="0"/>
    <x v="0"/>
    <n v="4"/>
    <x v="0"/>
    <x v="1"/>
  </r>
  <r>
    <x v="0"/>
    <x v="2"/>
    <x v="0"/>
    <x v="0"/>
    <n v="2"/>
    <x v="1"/>
    <x v="1"/>
  </r>
  <r>
    <x v="1"/>
    <x v="1"/>
    <x v="0"/>
    <x v="0"/>
    <n v="3"/>
    <x v="1"/>
    <x v="1"/>
  </r>
  <r>
    <x v="1"/>
    <x v="2"/>
    <x v="0"/>
    <x v="0"/>
    <n v="2"/>
    <x v="0"/>
    <x v="1"/>
  </r>
  <r>
    <x v="1"/>
    <x v="2"/>
    <x v="1"/>
    <x v="0"/>
    <n v="3"/>
    <x v="0"/>
    <x v="1"/>
  </r>
  <r>
    <x v="0"/>
    <x v="0"/>
    <x v="0"/>
    <x v="0"/>
    <n v="3"/>
    <x v="0"/>
    <x v="0"/>
  </r>
  <r>
    <x v="0"/>
    <x v="2"/>
    <x v="0"/>
    <x v="0"/>
    <n v="2"/>
    <x v="0"/>
    <x v="1"/>
  </r>
  <r>
    <x v="0"/>
    <x v="1"/>
    <x v="0"/>
    <x v="0"/>
    <n v="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F1A207-05C2-4A04-ADAF-5A92AD9BEBD7}" name="PivotTable5"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Breakfast">
  <location ref="D6:E9" firstHeaderRow="1" firstDataRow="1" firstDataCol="1"/>
  <pivotFields count="7">
    <pivotField showAll="0"/>
    <pivotField showAll="0"/>
    <pivotField showAll="0"/>
    <pivotField showAll="0">
      <items count="3">
        <item x="1"/>
        <item x="0"/>
        <item t="default"/>
      </items>
    </pivotField>
    <pivotField dataField="1" showAll="0"/>
    <pivotField axis="axisRow" showAll="0">
      <items count="3">
        <item x="1"/>
        <item x="0"/>
        <item t="default"/>
      </items>
    </pivotField>
    <pivotField showAll="0">
      <items count="4">
        <item x="2"/>
        <item x="0"/>
        <item x="1"/>
        <item t="default"/>
      </items>
    </pivotField>
  </pivotFields>
  <rowFields count="1">
    <field x="5"/>
  </rowFields>
  <rowItems count="3">
    <i>
      <x/>
    </i>
    <i>
      <x v="1"/>
    </i>
    <i t="grand">
      <x/>
    </i>
  </rowItems>
  <colItems count="1">
    <i/>
  </colItems>
  <dataFields count="1">
    <dataField name="Average of Tired_Level" fld="4" subtotal="average" baseField="5" baseItem="0" numFmtId="164"/>
  </dataFields>
  <formats count="4">
    <format dxfId="33">
      <pivotArea collapsedLevelsAreSubtotals="1" fieldPosition="0">
        <references count="1">
          <reference field="5" count="1">
            <x v="1"/>
          </reference>
        </references>
      </pivotArea>
    </format>
    <format dxfId="34">
      <pivotArea grandRow="1" outline="0" collapsedLevelsAreSubtotals="1" fieldPosition="0"/>
    </format>
    <format dxfId="35">
      <pivotArea collapsedLevelsAreSubtotals="1" fieldPosition="0">
        <references count="1">
          <reference field="5" count="1">
            <x v="0"/>
          </reference>
        </references>
      </pivotArea>
    </format>
    <format dxfId="36">
      <pivotArea outline="0" collapsedLevelsAreSubtotals="1" fieldPosition="0"/>
    </format>
  </formats>
  <chartFormats count="3">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0"/>
          </reference>
        </references>
      </pivotArea>
    </chartFormat>
    <chartFormat chart="3" format="4">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1B1E32-D76A-47E6-8A98-CF423D39FA22}" name="PivotTable14"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G7:H16" firstHeaderRow="1" firstDataRow="1" firstDataCol="1"/>
  <pivotFields count="7">
    <pivotField compact="0" outline="0" showAll="0"/>
    <pivotField axis="axisRow" compact="0" outline="0" showAll="0">
      <items count="9">
        <item x="6"/>
        <item x="3"/>
        <item x="7"/>
        <item x="1"/>
        <item x="2"/>
        <item x="0"/>
        <item x="5"/>
        <item x="4"/>
        <item t="default"/>
      </items>
    </pivotField>
    <pivotField compact="0" outline="0" showAll="0"/>
    <pivotField compact="0" outline="0" showAll="0">
      <items count="3">
        <item x="1"/>
        <item x="0"/>
        <item t="default"/>
      </items>
    </pivotField>
    <pivotField dataField="1" compact="0" outline="0" showAll="0"/>
    <pivotField compact="0" outline="0" showAll="0">
      <items count="3">
        <item x="1"/>
        <item x="0"/>
        <item t="default"/>
      </items>
    </pivotField>
    <pivotField compact="0" outline="0" showAll="0">
      <items count="4">
        <item x="2"/>
        <item x="0"/>
        <item x="1"/>
        <item t="default"/>
      </items>
    </pivotField>
  </pivotFields>
  <rowFields count="1">
    <field x="1"/>
  </rowFields>
  <rowItems count="9">
    <i>
      <x/>
    </i>
    <i>
      <x v="1"/>
    </i>
    <i>
      <x v="2"/>
    </i>
    <i>
      <x v="3"/>
    </i>
    <i>
      <x v="4"/>
    </i>
    <i>
      <x v="5"/>
    </i>
    <i>
      <x v="6"/>
    </i>
    <i>
      <x v="7"/>
    </i>
    <i t="grand">
      <x/>
    </i>
  </rowItems>
  <colItems count="1">
    <i/>
  </colItems>
  <dataFields count="1">
    <dataField name="Average of Tired_Level" fld="4" subtotal="average" baseField="0" baseItem="0"/>
  </dataFields>
  <formats count="2">
    <format dxfId="31">
      <pivotArea outline="0" fieldPosition="0">
        <references count="1">
          <reference field="1" count="5" selected="0">
            <x v="1"/>
            <x v="2"/>
            <x v="3"/>
            <x v="4"/>
            <x v="5"/>
          </reference>
        </references>
      </pivotArea>
    </format>
    <format dxfId="32">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8A42B1-A7E8-4BEF-AB73-5B56EB0B3AEF}"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hone Usage">
  <location ref="D1:E4" firstHeaderRow="1" firstDataRow="1" firstDataCol="1"/>
  <pivotFields count="7">
    <pivotField showAll="0"/>
    <pivotField showAll="0"/>
    <pivotField axis="axisRow" showAll="0">
      <items count="3">
        <item x="1"/>
        <item x="0"/>
        <item t="default"/>
      </items>
    </pivotField>
    <pivotField showAll="0">
      <items count="3">
        <item x="1"/>
        <item x="0"/>
        <item t="default"/>
      </items>
    </pivotField>
    <pivotField dataField="1" showAll="0"/>
    <pivotField showAll="0">
      <items count="3">
        <item x="1"/>
        <item x="0"/>
        <item t="default"/>
      </items>
    </pivotField>
    <pivotField showAll="0">
      <items count="4">
        <item x="2"/>
        <item x="0"/>
        <item x="1"/>
        <item t="default"/>
      </items>
    </pivotField>
  </pivotFields>
  <rowFields count="1">
    <field x="2"/>
  </rowFields>
  <rowItems count="3">
    <i>
      <x/>
    </i>
    <i>
      <x v="1"/>
    </i>
    <i t="grand">
      <x/>
    </i>
  </rowItems>
  <colItems count="1">
    <i/>
  </colItems>
  <dataFields count="1">
    <dataField name="Average of Tired_Level" fld="4" subtotal="average" baseField="2" baseItem="0" numFmtId="164"/>
  </dataFields>
  <formats count="4">
    <format dxfId="27">
      <pivotArea collapsedLevelsAreSubtotals="1" fieldPosition="0">
        <references count="1">
          <reference field="2" count="1">
            <x v="0"/>
          </reference>
        </references>
      </pivotArea>
    </format>
    <format dxfId="28">
      <pivotArea collapsedLevelsAreSubtotals="1" fieldPosition="0">
        <references count="1">
          <reference field="2" count="1">
            <x v="1"/>
          </reference>
        </references>
      </pivotArea>
    </format>
    <format dxfId="29">
      <pivotArea grandRow="1" outline="0" collapsedLevelsAreSubtotals="1" fieldPosition="0"/>
    </format>
    <format dxfId="30">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208CE2-13FD-4872-B56C-080CF8CBB848}"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7">
    <pivotField showAll="0"/>
    <pivotField dataField="1" showAll="0"/>
    <pivotField showAll="0"/>
    <pivotField showAll="0">
      <items count="3">
        <item x="1"/>
        <item x="0"/>
        <item t="default"/>
      </items>
    </pivotField>
    <pivotField showAll="0"/>
    <pivotField showAll="0">
      <items count="3">
        <item x="1"/>
        <item x="0"/>
        <item t="default"/>
      </items>
    </pivotField>
    <pivotField showAll="0">
      <items count="4">
        <item x="2"/>
        <item x="0"/>
        <item x="1"/>
        <item t="default"/>
      </items>
    </pivotField>
  </pivotFields>
  <rowItems count="1">
    <i/>
  </rowItems>
  <colItems count="1">
    <i/>
  </colItems>
  <dataFields count="1">
    <dataField name="Average Sleep Hours" fld="1" subtotal="average" baseField="0" baseItem="0" numFmtId="164"/>
  </dataFields>
  <formats count="1">
    <format dxfId="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FF8276-5B04-4EE5-ACBA-B476C4C1823D}" name="PivotTable8"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11:E14" firstHeaderRow="1" firstDataRow="1" firstDataCol="1"/>
  <pivotFields count="7">
    <pivotField axis="axisRow" dataField="1" showAll="0">
      <items count="3">
        <item x="1"/>
        <item x="0"/>
        <item t="default"/>
      </items>
    </pivotField>
    <pivotField showAll="0"/>
    <pivotField showAll="0"/>
    <pivotField showAll="0">
      <items count="3">
        <item x="1"/>
        <item x="0"/>
        <item t="default"/>
      </items>
    </pivotField>
    <pivotField showAll="0"/>
    <pivotField showAll="0">
      <items count="3">
        <item x="1"/>
        <item x="0"/>
        <item t="default"/>
      </items>
    </pivotField>
    <pivotField showAll="0">
      <items count="4">
        <item x="2"/>
        <item x="0"/>
        <item x="1"/>
        <item t="default"/>
      </items>
    </pivotField>
  </pivotFields>
  <rowFields count="1">
    <field x="0"/>
  </rowFields>
  <rowItems count="3">
    <i>
      <x/>
    </i>
    <i>
      <x v="1"/>
    </i>
    <i t="grand">
      <x/>
    </i>
  </rowItems>
  <colItems count="1">
    <i/>
  </colItems>
  <dataFields count="1">
    <dataField name="Count of Enough_Sleep" fld="0" subtotal="count" showDataAs="percentOfTotal" baseField="0" baseItem="0" numFmtId="9"/>
  </dataFields>
  <formats count="3">
    <format dxfId="23">
      <pivotArea outline="0" collapsedLevelsAreSubtotals="1" fieldPosition="0"/>
    </format>
    <format dxfId="24">
      <pivotArea dataOnly="0" labelOnly="1" outline="0" axis="axisValues" fieldPosition="0"/>
    </format>
    <format dxfId="25">
      <pivotArea collapsedLevelsAreSubtotals="1" fieldPosition="0">
        <references count="1">
          <reference field="0" count="1">
            <x v="0"/>
          </reference>
        </references>
      </pivotArea>
    </format>
  </formats>
  <chartFormats count="3">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0" count="1" selected="0">
            <x v="0"/>
          </reference>
        </references>
      </pivotArea>
    </chartFormat>
    <chartFormat chart="5" format="8">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09CCFAB-0B2C-4B34-98A9-1BD4ACC9B16E}" name="PivotTable9"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H4" firstHeaderRow="1" firstDataRow="1" firstDataCol="1"/>
  <pivotFields count="7">
    <pivotField compact="0" outline="0" showAll="0"/>
    <pivotField compact="0" outline="0" showAll="0"/>
    <pivotField axis="axisRow" compact="0" outline="0" showAll="0">
      <items count="3">
        <item x="1"/>
        <item x="0"/>
        <item t="default"/>
      </items>
    </pivotField>
    <pivotField compact="0" outline="0" showAll="0"/>
    <pivotField dataField="1" compact="0" outline="0" showAll="0"/>
    <pivotField compact="0" outline="0" showAll="0"/>
    <pivotField compact="0" outline="0" showAll="0"/>
  </pivotFields>
  <rowFields count="1">
    <field x="2"/>
  </rowFields>
  <rowItems count="3">
    <i>
      <x/>
    </i>
    <i>
      <x v="1"/>
    </i>
    <i t="grand">
      <x/>
    </i>
  </rowItems>
  <colItems count="1">
    <i/>
  </colItems>
  <dataFields count="1">
    <dataField name="Average of Tired_Level" fld="4" subtotal="average" baseField="0" baseItem="0" numFmtId="164"/>
  </dataFields>
  <formats count="4">
    <format dxfId="19">
      <pivotArea outline="0" fieldPosition="0">
        <references count="1">
          <reference field="2" count="1" selected="0">
            <x v="0"/>
          </reference>
        </references>
      </pivotArea>
    </format>
    <format dxfId="20">
      <pivotArea outline="0" fieldPosition="0">
        <references count="1">
          <reference field="2" count="1" selected="0">
            <x v="1"/>
          </reference>
        </references>
      </pivotArea>
    </format>
    <format dxfId="21">
      <pivotArea grandRow="1" outline="0" collapsedLevelsAreSubtotals="1" fieldPosition="0"/>
    </format>
    <format dxfId="2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C66938-752B-462C-8E8A-53F4FDFC97A8}"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nough Sleep">
  <location ref="A5:B8" firstHeaderRow="1" firstDataRow="1" firstDataCol="1"/>
  <pivotFields count="7">
    <pivotField axis="axisRow" showAll="0">
      <items count="3">
        <item x="1"/>
        <item x="0"/>
        <item t="default"/>
      </items>
    </pivotField>
    <pivotField dataField="1" showAll="0"/>
    <pivotField showAll="0"/>
    <pivotField showAll="0">
      <items count="3">
        <item x="1"/>
        <item x="0"/>
        <item t="default"/>
      </items>
    </pivotField>
    <pivotField showAll="0"/>
    <pivotField showAll="0">
      <items count="3">
        <item x="1"/>
        <item x="0"/>
        <item t="default"/>
      </items>
    </pivotField>
    <pivotField showAll="0">
      <items count="4">
        <item x="2"/>
        <item x="0"/>
        <item x="1"/>
        <item t="default"/>
      </items>
    </pivotField>
  </pivotFields>
  <rowFields count="1">
    <field x="0"/>
  </rowFields>
  <rowItems count="3">
    <i>
      <x/>
    </i>
    <i>
      <x v="1"/>
    </i>
    <i t="grand">
      <x/>
    </i>
  </rowItems>
  <colItems count="1">
    <i/>
  </colItems>
  <dataFields count="1">
    <dataField name="Average of Sleep_Hours" fld="1" subtotal="average" baseField="0" baseItem="0"/>
  </dataFields>
  <formats count="3">
    <format dxfId="16">
      <pivotArea collapsedLevelsAreSubtotals="1" fieldPosition="0">
        <references count="1">
          <reference field="0" count="1">
            <x v="0"/>
          </reference>
        </references>
      </pivotArea>
    </format>
    <format dxfId="17">
      <pivotArea collapsedLevelsAreSubtotals="1" fieldPosition="0">
        <references count="1">
          <reference field="0" count="1">
            <x v="1"/>
          </reference>
        </references>
      </pivotArea>
    </format>
    <format dxfId="18">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833B61-3F69-4580-BB86-EA8F5129618C}"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rowHeaderCaption="Sleep Hours">
  <location ref="A11:B15" firstHeaderRow="1" firstDataRow="1" firstDataCol="1"/>
  <pivotFields count="7">
    <pivotField showAll="0"/>
    <pivotField showAll="0"/>
    <pivotField showAll="0"/>
    <pivotField showAll="0">
      <items count="3">
        <item x="1"/>
        <item x="0"/>
        <item t="default"/>
      </items>
    </pivotField>
    <pivotField dataField="1" showAll="0"/>
    <pivotField showAll="0">
      <items count="3">
        <item x="1"/>
        <item x="0"/>
        <item t="default"/>
      </items>
    </pivotField>
    <pivotField axis="axisRow" showAll="0">
      <items count="4">
        <item x="2"/>
        <item x="1"/>
        <item x="0"/>
        <item t="default"/>
      </items>
    </pivotField>
  </pivotFields>
  <rowFields count="1">
    <field x="6"/>
  </rowFields>
  <rowItems count="4">
    <i>
      <x/>
    </i>
    <i>
      <x v="1"/>
    </i>
    <i>
      <x v="2"/>
    </i>
    <i t="grand">
      <x/>
    </i>
  </rowItems>
  <colItems count="1">
    <i/>
  </colItems>
  <dataFields count="1">
    <dataField name="Average of Tired_Level" fld="4" subtotal="average" baseField="6" baseItem="0"/>
  </dataFields>
  <formats count="3">
    <format dxfId="13">
      <pivotArea collapsedLevelsAreSubtotals="1" fieldPosition="0">
        <references count="1">
          <reference field="6" count="1">
            <x v="0"/>
          </reference>
        </references>
      </pivotArea>
    </format>
    <format dxfId="14">
      <pivotArea collapsedLevelsAreSubtotals="1" fieldPosition="0">
        <references count="1">
          <reference field="6" count="2">
            <x v="1"/>
            <x v="2"/>
          </reference>
        </references>
      </pivotArea>
    </format>
    <format dxfId="15">
      <pivotArea grandRow="1" outline="0" collapsedLevelsAreSubtotals="1" fieldPosition="0"/>
    </format>
  </formats>
  <chartFormats count="4">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6" count="1" selected="0">
            <x v="0"/>
          </reference>
        </references>
      </pivotArea>
    </chartFormat>
    <chartFormat chart="18" format="6">
      <pivotArea type="data" outline="0" fieldPosition="0">
        <references count="2">
          <reference field="4294967294" count="1" selected="0">
            <x v="0"/>
          </reference>
          <reference field="6" count="1" selected="0">
            <x v="2"/>
          </reference>
        </references>
      </pivotArea>
    </chartFormat>
    <chartFormat chart="18" format="7">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BF7AD6-5500-4143-8408-E161139C877B}"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B2" firstHeaderRow="1" firstDataRow="1" firstDataCol="0"/>
  <pivotFields count="7">
    <pivotField showAll="0"/>
    <pivotField showAll="0"/>
    <pivotField showAll="0"/>
    <pivotField showAll="0">
      <items count="3">
        <item x="1"/>
        <item x="0"/>
        <item t="default"/>
      </items>
    </pivotField>
    <pivotField dataField="1" showAll="0"/>
    <pivotField showAll="0">
      <items count="3">
        <item x="1"/>
        <item x="0"/>
        <item t="default"/>
      </items>
    </pivotField>
    <pivotField showAll="0">
      <items count="4">
        <item x="2"/>
        <item x="0"/>
        <item x="1"/>
        <item t="default"/>
      </items>
    </pivotField>
  </pivotFields>
  <rowItems count="1">
    <i/>
  </rowItems>
  <colItems count="1">
    <i/>
  </colItems>
  <dataFields count="1">
    <dataField name="Average of Tired_Level" fld="4" subtotal="average" baseField="0" baseItem="0" numFmtId="164"/>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leep_Group" xr10:uid="{B8C7E77C-0B36-4EBE-BE39-19BD121A15B6}" sourceName="Sleep_Group">
  <pivotTables>
    <pivotTable tabId="2" name="PivotTable4"/>
    <pivotTable tabId="2" name="PivotTable1"/>
    <pivotTable tabId="2" name="PivotTable2"/>
    <pivotTable tabId="2" name="PivotTable3"/>
    <pivotTable tabId="2" name="PivotTable5"/>
    <pivotTable tabId="2" name="PivotTable6"/>
    <pivotTable tabId="2" name="PivotTable8"/>
    <pivotTable tabId="2" name="PivotTable14"/>
  </pivotTables>
  <data>
    <tabular pivotCacheId="1428903768">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eakfast" xr10:uid="{39BAA18B-598D-47BA-86CE-7F6E11E45276}" sourceName="Breakfast">
  <pivotTables>
    <pivotTable tabId="2" name="PivotTable4"/>
    <pivotTable tabId="2" name="PivotTable1"/>
    <pivotTable tabId="2" name="PivotTable2"/>
    <pivotTable tabId="2" name="PivotTable3"/>
    <pivotTable tabId="2" name="PivotTable5"/>
    <pivotTable tabId="2" name="PivotTable6"/>
    <pivotTable tabId="2" name="PivotTable8"/>
    <pivotTable tabId="2" name="PivotTable14"/>
  </pivotTables>
  <data>
    <tabular pivotCacheId="142890376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hone_Usage" xr10:uid="{48934EA7-2D28-49EA-90A7-EF1AA70C9465}" sourceName="Phone_Usage">
  <pivotTables>
    <pivotTable tabId="2" name="PivotTable4"/>
    <pivotTable tabId="2" name="PivotTable1"/>
    <pivotTable tabId="2" name="PivotTable2"/>
    <pivotTable tabId="2" name="PivotTable3"/>
    <pivotTable tabId="2" name="PivotTable5"/>
    <pivotTable tabId="2" name="PivotTable6"/>
    <pivotTable tabId="2" name="PivotTable8"/>
    <pivotTable tabId="2" name="PivotTable14"/>
  </pivotTables>
  <data>
    <tabular pivotCacheId="142890376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eep_Group" xr10:uid="{36B1278C-EA7B-4F3A-BC3C-52194685C20D}" cache="Slicer_Sleep_Group" caption="Sleep_Group" style="Slicer Style 2" rowHeight="733425"/>
  <slicer name="Breakfast" xr10:uid="{54316BBF-D054-48A4-8B40-9186B6ED2A72}" cache="Slicer_Breakfast" caption="Breakfast" style="Slicer Style 3" rowHeight="552450"/>
  <slicer name="Phone_Usage" xr10:uid="{862A0C03-3FF5-4D00-9ADF-B9425057B57F}" cache="Slicer_Phone_Usage" caption="Phone_Usage" style="Slicer Style 4" rowHeight="5524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6B6036-177D-4161-879C-6E52E3CB6DEA}" name="Cleaned_Data" displayName="Cleaned_Data" ref="B1:H103" totalsRowShown="0" headerRowDxfId="11" dataDxfId="10" headerRowBorderDxfId="8" tableBorderDxfId="9" totalsRowBorderDxfId="7">
  <autoFilter ref="B1:H103" xr:uid="{6B6B6036-177D-4161-879C-6E52E3CB6DEA}"/>
  <tableColumns count="7">
    <tableColumn id="1" xr3:uid="{81893D84-4F1F-43E3-B152-08F03867D398}" name="Enough_Sleep" dataDxfId="6"/>
    <tableColumn id="2" xr3:uid="{462A19BF-2DEF-4886-BBEB-CA6ADBBEF9AA}" name="Sleep_Hours" dataDxfId="5"/>
    <tableColumn id="3" xr3:uid="{A4D7B786-6BDD-42D2-BF94-1A89DB64A961}" name="Phone_Reach" dataDxfId="4"/>
    <tableColumn id="4" xr3:uid="{AEAB946C-D864-4E38-B77B-2EA71072725C}" name="Phone_Usage" dataDxfId="3"/>
    <tableColumn id="5" xr3:uid="{0A239666-9A8C-49A5-A12B-136F9D92E028}" name="Tired_Level" dataDxfId="2"/>
    <tableColumn id="6" xr3:uid="{1639AB04-3694-449E-AE7C-C4B1DE421715}" name="Breakfast" dataDxfId="1"/>
    <tableColumn id="7" xr3:uid="{F1AE35C8-6287-4AFB-907B-87BF9D03BBD0}" name="Sleep_Group" dataDxfId="0">
      <calculatedColumnFormula>IF(C2&lt;=5,"≤5 hours",IF(C2&lt;=7,"6–7 hours","≥8 hours"))</calculatedColumnFormula>
    </tableColumn>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D098E-F257-483E-9E5F-3615A4B5AB16}">
  <dimension ref="B1:M106"/>
  <sheetViews>
    <sheetView tabSelected="1" zoomScale="82" workbookViewId="0">
      <selection activeCell="L14" sqref="L14"/>
    </sheetView>
  </sheetViews>
  <sheetFormatPr defaultRowHeight="14.45"/>
  <cols>
    <col min="2" max="8" width="18" style="1" customWidth="1"/>
    <col min="12" max="12" width="18.42578125" customWidth="1"/>
    <col min="13" max="13" width="7.28515625" customWidth="1"/>
  </cols>
  <sheetData>
    <row r="1" spans="2:13">
      <c r="B1" s="5" t="s">
        <v>0</v>
      </c>
      <c r="C1" s="6" t="s">
        <v>1</v>
      </c>
      <c r="D1" s="6" t="s">
        <v>2</v>
      </c>
      <c r="E1" s="6" t="s">
        <v>3</v>
      </c>
      <c r="F1" s="6" t="s">
        <v>4</v>
      </c>
      <c r="G1" s="6" t="s">
        <v>5</v>
      </c>
      <c r="H1" s="7" t="s">
        <v>6</v>
      </c>
    </row>
    <row r="2" spans="2:13" ht="15">
      <c r="B2" s="3" t="s">
        <v>7</v>
      </c>
      <c r="C2" s="2">
        <v>8</v>
      </c>
      <c r="D2" s="2" t="s">
        <v>7</v>
      </c>
      <c r="E2" s="2" t="s">
        <v>7</v>
      </c>
      <c r="F2" s="2">
        <v>3</v>
      </c>
      <c r="G2" s="2" t="s">
        <v>7</v>
      </c>
      <c r="H2" s="4" t="str">
        <f>IF(C2&lt;=5,"≤5 hours",IF(C2&lt;=7,"6–7 hours","≥8 hours"))</f>
        <v>≥8 hours</v>
      </c>
      <c r="L2" s="45" t="s">
        <v>8</v>
      </c>
      <c r="M2" s="44">
        <f>CORREL(C2:C103,F2:F103)</f>
        <v>-0.19191266936641241</v>
      </c>
    </row>
    <row r="3" spans="2:13">
      <c r="B3" s="3" t="s">
        <v>9</v>
      </c>
      <c r="C3" s="2">
        <v>6</v>
      </c>
      <c r="D3" s="2" t="s">
        <v>7</v>
      </c>
      <c r="E3" s="2" t="s">
        <v>7</v>
      </c>
      <c r="F3" s="2">
        <v>3</v>
      </c>
      <c r="G3" s="2" t="s">
        <v>9</v>
      </c>
      <c r="H3" s="4" t="str">
        <f t="shared" ref="H3:H66" si="0">IF(C3&lt;=5,"≤5 hours",IF(C3&lt;=7,"6–7 hours","≥8 hours"))</f>
        <v>6–7 hours</v>
      </c>
    </row>
    <row r="4" spans="2:13">
      <c r="B4" s="3" t="s">
        <v>7</v>
      </c>
      <c r="C4" s="2">
        <v>6</v>
      </c>
      <c r="D4" s="2" t="s">
        <v>7</v>
      </c>
      <c r="E4" s="2" t="s">
        <v>7</v>
      </c>
      <c r="F4" s="2">
        <v>2</v>
      </c>
      <c r="G4" s="2" t="s">
        <v>7</v>
      </c>
      <c r="H4" s="4" t="str">
        <f t="shared" si="0"/>
        <v>6–7 hours</v>
      </c>
    </row>
    <row r="5" spans="2:13">
      <c r="B5" s="3" t="s">
        <v>9</v>
      </c>
      <c r="C5" s="2">
        <v>7</v>
      </c>
      <c r="D5" s="2" t="s">
        <v>7</v>
      </c>
      <c r="E5" s="2" t="s">
        <v>7</v>
      </c>
      <c r="F5" s="2">
        <v>4</v>
      </c>
      <c r="G5" s="2" t="s">
        <v>9</v>
      </c>
      <c r="H5" s="4" t="str">
        <f t="shared" si="0"/>
        <v>6–7 hours</v>
      </c>
    </row>
    <row r="6" spans="2:13">
      <c r="B6" s="3" t="s">
        <v>9</v>
      </c>
      <c r="C6" s="2">
        <v>7</v>
      </c>
      <c r="D6" s="2" t="s">
        <v>7</v>
      </c>
      <c r="E6" s="2" t="s">
        <v>7</v>
      </c>
      <c r="F6" s="2">
        <v>2</v>
      </c>
      <c r="G6" s="2" t="s">
        <v>7</v>
      </c>
      <c r="H6" s="4" t="str">
        <f t="shared" si="0"/>
        <v>6–7 hours</v>
      </c>
    </row>
    <row r="7" spans="2:13">
      <c r="B7" s="3" t="s">
        <v>9</v>
      </c>
      <c r="C7" s="2">
        <v>7</v>
      </c>
      <c r="D7" s="2" t="s">
        <v>7</v>
      </c>
      <c r="E7" s="2" t="s">
        <v>7</v>
      </c>
      <c r="F7" s="2">
        <v>4</v>
      </c>
      <c r="G7" s="2" t="s">
        <v>9</v>
      </c>
      <c r="H7" s="4" t="str">
        <f t="shared" si="0"/>
        <v>6–7 hours</v>
      </c>
    </row>
    <row r="8" spans="2:13">
      <c r="B8" s="3" t="s">
        <v>7</v>
      </c>
      <c r="C8" s="2">
        <v>7</v>
      </c>
      <c r="D8" s="2" t="s">
        <v>7</v>
      </c>
      <c r="E8" s="2" t="s">
        <v>7</v>
      </c>
      <c r="F8" s="2">
        <v>3</v>
      </c>
      <c r="G8" s="2" t="s">
        <v>7</v>
      </c>
      <c r="H8" s="4" t="str">
        <f t="shared" si="0"/>
        <v>6–7 hours</v>
      </c>
    </row>
    <row r="9" spans="2:13">
      <c r="B9" s="3" t="s">
        <v>9</v>
      </c>
      <c r="C9" s="2">
        <v>7</v>
      </c>
      <c r="D9" s="2" t="s">
        <v>7</v>
      </c>
      <c r="E9" s="2" t="s">
        <v>7</v>
      </c>
      <c r="F9" s="2">
        <v>3</v>
      </c>
      <c r="G9" s="2" t="s">
        <v>7</v>
      </c>
      <c r="H9" s="4" t="str">
        <f t="shared" si="0"/>
        <v>6–7 hours</v>
      </c>
    </row>
    <row r="10" spans="2:13">
      <c r="B10" s="3" t="s">
        <v>9</v>
      </c>
      <c r="C10" s="2">
        <v>4</v>
      </c>
      <c r="D10" s="2" t="s">
        <v>9</v>
      </c>
      <c r="E10" s="2" t="s">
        <v>7</v>
      </c>
      <c r="F10" s="2">
        <v>2</v>
      </c>
      <c r="G10" s="2" t="s">
        <v>7</v>
      </c>
      <c r="H10" s="4" t="str">
        <f t="shared" si="0"/>
        <v>≤5 hours</v>
      </c>
    </row>
    <row r="11" spans="2:13">
      <c r="B11" s="3" t="s">
        <v>9</v>
      </c>
      <c r="C11" s="2">
        <v>6</v>
      </c>
      <c r="D11" s="2" t="s">
        <v>7</v>
      </c>
      <c r="E11" s="2" t="s">
        <v>7</v>
      </c>
      <c r="F11" s="2">
        <v>3</v>
      </c>
      <c r="G11" s="2" t="s">
        <v>7</v>
      </c>
      <c r="H11" s="4" t="str">
        <f t="shared" si="0"/>
        <v>6–7 hours</v>
      </c>
    </row>
    <row r="12" spans="2:13">
      <c r="B12" s="3" t="s">
        <v>9</v>
      </c>
      <c r="C12" s="2">
        <v>10</v>
      </c>
      <c r="D12" s="2" t="s">
        <v>7</v>
      </c>
      <c r="E12" s="2" t="s">
        <v>7</v>
      </c>
      <c r="F12" s="2">
        <v>4</v>
      </c>
      <c r="G12" s="2" t="s">
        <v>9</v>
      </c>
      <c r="H12" s="4" t="str">
        <f t="shared" si="0"/>
        <v>≥8 hours</v>
      </c>
    </row>
    <row r="13" spans="2:13">
      <c r="B13" s="3" t="s">
        <v>9</v>
      </c>
      <c r="C13" s="2">
        <v>7</v>
      </c>
      <c r="D13" s="2" t="s">
        <v>7</v>
      </c>
      <c r="E13" s="2" t="s">
        <v>7</v>
      </c>
      <c r="F13" s="2">
        <v>2</v>
      </c>
      <c r="G13" s="2" t="s">
        <v>7</v>
      </c>
      <c r="H13" s="4" t="str">
        <f t="shared" si="0"/>
        <v>6–7 hours</v>
      </c>
    </row>
    <row r="14" spans="2:13">
      <c r="B14" s="3" t="s">
        <v>7</v>
      </c>
      <c r="C14" s="2">
        <v>7</v>
      </c>
      <c r="D14" s="2" t="s">
        <v>7</v>
      </c>
      <c r="E14" s="2" t="s">
        <v>7</v>
      </c>
      <c r="F14" s="2">
        <v>3</v>
      </c>
      <c r="G14" s="2" t="s">
        <v>9</v>
      </c>
      <c r="H14" s="4" t="str">
        <f t="shared" si="0"/>
        <v>6–7 hours</v>
      </c>
    </row>
    <row r="15" spans="2:13">
      <c r="B15" s="3" t="s">
        <v>7</v>
      </c>
      <c r="C15" s="2">
        <v>8</v>
      </c>
      <c r="D15" s="2" t="s">
        <v>7</v>
      </c>
      <c r="E15" s="2" t="s">
        <v>7</v>
      </c>
      <c r="F15" s="2">
        <v>2</v>
      </c>
      <c r="G15" s="2" t="s">
        <v>9</v>
      </c>
      <c r="H15" s="4" t="str">
        <f t="shared" si="0"/>
        <v>≥8 hours</v>
      </c>
    </row>
    <row r="16" spans="2:13">
      <c r="B16" s="3" t="s">
        <v>7</v>
      </c>
      <c r="C16" s="2">
        <v>7</v>
      </c>
      <c r="D16" s="2" t="s">
        <v>9</v>
      </c>
      <c r="E16" s="2" t="s">
        <v>7</v>
      </c>
      <c r="F16" s="2">
        <v>3</v>
      </c>
      <c r="G16" s="2" t="s">
        <v>7</v>
      </c>
      <c r="H16" s="4" t="str">
        <f t="shared" si="0"/>
        <v>6–7 hours</v>
      </c>
    </row>
    <row r="17" spans="2:8">
      <c r="B17" s="3" t="s">
        <v>7</v>
      </c>
      <c r="C17" s="2">
        <v>8</v>
      </c>
      <c r="D17" s="2" t="s">
        <v>7</v>
      </c>
      <c r="E17" s="2" t="s">
        <v>7</v>
      </c>
      <c r="F17" s="2">
        <v>3</v>
      </c>
      <c r="G17" s="2" t="s">
        <v>9</v>
      </c>
      <c r="H17" s="4" t="str">
        <f t="shared" si="0"/>
        <v>≥8 hours</v>
      </c>
    </row>
    <row r="18" spans="2:8">
      <c r="B18" s="3" t="s">
        <v>7</v>
      </c>
      <c r="C18" s="2">
        <v>6</v>
      </c>
      <c r="D18" s="2" t="s">
        <v>7</v>
      </c>
      <c r="E18" s="2" t="s">
        <v>7</v>
      </c>
      <c r="F18" s="2">
        <v>4</v>
      </c>
      <c r="G18" s="2" t="s">
        <v>7</v>
      </c>
      <c r="H18" s="4" t="str">
        <f t="shared" si="0"/>
        <v>6–7 hours</v>
      </c>
    </row>
    <row r="19" spans="2:8">
      <c r="B19" s="3" t="s">
        <v>7</v>
      </c>
      <c r="C19" s="2">
        <v>8</v>
      </c>
      <c r="D19" s="2" t="s">
        <v>7</v>
      </c>
      <c r="E19" s="2" t="s">
        <v>7</v>
      </c>
      <c r="F19" s="2">
        <v>3</v>
      </c>
      <c r="G19" s="2" t="s">
        <v>7</v>
      </c>
      <c r="H19" s="4" t="str">
        <f t="shared" si="0"/>
        <v>≥8 hours</v>
      </c>
    </row>
    <row r="20" spans="2:8">
      <c r="B20" s="3" t="s">
        <v>9</v>
      </c>
      <c r="C20" s="2">
        <v>9</v>
      </c>
      <c r="D20" s="2" t="s">
        <v>7</v>
      </c>
      <c r="E20" s="2" t="s">
        <v>7</v>
      </c>
      <c r="F20" s="2">
        <v>3</v>
      </c>
      <c r="G20" s="2" t="s">
        <v>7</v>
      </c>
      <c r="H20" s="4" t="str">
        <f t="shared" si="0"/>
        <v>≥8 hours</v>
      </c>
    </row>
    <row r="21" spans="2:8">
      <c r="B21" s="3" t="s">
        <v>7</v>
      </c>
      <c r="C21" s="2">
        <v>8</v>
      </c>
      <c r="D21" s="2" t="s">
        <v>7</v>
      </c>
      <c r="E21" s="2" t="s">
        <v>7</v>
      </c>
      <c r="F21" s="2">
        <v>3</v>
      </c>
      <c r="G21" s="2" t="s">
        <v>9</v>
      </c>
      <c r="H21" s="4" t="str">
        <f t="shared" si="0"/>
        <v>≥8 hours</v>
      </c>
    </row>
    <row r="22" spans="2:8">
      <c r="B22" s="3" t="s">
        <v>9</v>
      </c>
      <c r="C22" s="2">
        <v>2</v>
      </c>
      <c r="D22" s="2" t="s">
        <v>7</v>
      </c>
      <c r="E22" s="2" t="s">
        <v>7</v>
      </c>
      <c r="F22" s="2">
        <v>5</v>
      </c>
      <c r="G22" s="2" t="s">
        <v>9</v>
      </c>
      <c r="H22" s="4" t="str">
        <f t="shared" si="0"/>
        <v>≤5 hours</v>
      </c>
    </row>
    <row r="23" spans="2:8">
      <c r="B23" s="3" t="s">
        <v>9</v>
      </c>
      <c r="C23" s="2">
        <v>4</v>
      </c>
      <c r="D23" s="2" t="s">
        <v>7</v>
      </c>
      <c r="E23" s="2" t="s">
        <v>7</v>
      </c>
      <c r="F23" s="2">
        <v>2</v>
      </c>
      <c r="G23" s="2" t="s">
        <v>7</v>
      </c>
      <c r="H23" s="4" t="str">
        <f t="shared" si="0"/>
        <v>≤5 hours</v>
      </c>
    </row>
    <row r="24" spans="2:8">
      <c r="B24" s="3" t="s">
        <v>9</v>
      </c>
      <c r="C24" s="2">
        <v>5</v>
      </c>
      <c r="D24" s="2" t="s">
        <v>7</v>
      </c>
      <c r="E24" s="2" t="s">
        <v>9</v>
      </c>
      <c r="F24" s="2">
        <v>3</v>
      </c>
      <c r="G24" s="2" t="s">
        <v>7</v>
      </c>
      <c r="H24" s="4" t="str">
        <f t="shared" si="0"/>
        <v>≤5 hours</v>
      </c>
    </row>
    <row r="25" spans="2:8">
      <c r="B25" s="3" t="s">
        <v>9</v>
      </c>
      <c r="C25" s="2">
        <v>7</v>
      </c>
      <c r="D25" s="2" t="s">
        <v>7</v>
      </c>
      <c r="E25" s="2" t="s">
        <v>9</v>
      </c>
      <c r="F25" s="2">
        <v>3</v>
      </c>
      <c r="G25" s="2" t="s">
        <v>7</v>
      </c>
      <c r="H25" s="4" t="str">
        <f t="shared" si="0"/>
        <v>6–7 hours</v>
      </c>
    </row>
    <row r="26" spans="2:8">
      <c r="B26" s="3" t="s">
        <v>9</v>
      </c>
      <c r="C26" s="2">
        <v>5</v>
      </c>
      <c r="D26" s="2" t="s">
        <v>7</v>
      </c>
      <c r="E26" s="2" t="s">
        <v>7</v>
      </c>
      <c r="F26" s="2">
        <v>2</v>
      </c>
      <c r="G26" s="2" t="s">
        <v>9</v>
      </c>
      <c r="H26" s="4" t="str">
        <f t="shared" si="0"/>
        <v>≤5 hours</v>
      </c>
    </row>
    <row r="27" spans="2:8">
      <c r="B27" s="3" t="s">
        <v>9</v>
      </c>
      <c r="C27" s="2">
        <v>7</v>
      </c>
      <c r="D27" s="2" t="s">
        <v>9</v>
      </c>
      <c r="E27" s="2" t="s">
        <v>7</v>
      </c>
      <c r="F27" s="2">
        <v>5</v>
      </c>
      <c r="G27" s="2" t="s">
        <v>9</v>
      </c>
      <c r="H27" s="4" t="str">
        <f t="shared" si="0"/>
        <v>6–7 hours</v>
      </c>
    </row>
    <row r="28" spans="2:8">
      <c r="B28" s="3" t="s">
        <v>9</v>
      </c>
      <c r="C28" s="2">
        <v>6</v>
      </c>
      <c r="D28" s="2" t="s">
        <v>7</v>
      </c>
      <c r="E28" s="2" t="s">
        <v>7</v>
      </c>
      <c r="F28" s="2">
        <v>3</v>
      </c>
      <c r="G28" s="2" t="s">
        <v>9</v>
      </c>
      <c r="H28" s="4" t="str">
        <f t="shared" si="0"/>
        <v>6–7 hours</v>
      </c>
    </row>
    <row r="29" spans="2:8">
      <c r="B29" s="3" t="s">
        <v>9</v>
      </c>
      <c r="C29" s="2">
        <v>6</v>
      </c>
      <c r="D29" s="2" t="s">
        <v>7</v>
      </c>
      <c r="E29" s="2" t="s">
        <v>7</v>
      </c>
      <c r="F29" s="2">
        <v>2</v>
      </c>
      <c r="G29" s="2" t="s">
        <v>9</v>
      </c>
      <c r="H29" s="4" t="str">
        <f t="shared" si="0"/>
        <v>6–7 hours</v>
      </c>
    </row>
    <row r="30" spans="2:8">
      <c r="B30" s="3" t="s">
        <v>7</v>
      </c>
      <c r="C30" s="2">
        <v>7</v>
      </c>
      <c r="D30" s="2" t="s">
        <v>7</v>
      </c>
      <c r="E30" s="2" t="s">
        <v>9</v>
      </c>
      <c r="F30" s="2">
        <v>2</v>
      </c>
      <c r="G30" s="2" t="s">
        <v>7</v>
      </c>
      <c r="H30" s="4" t="str">
        <f t="shared" si="0"/>
        <v>6–7 hours</v>
      </c>
    </row>
    <row r="31" spans="2:8">
      <c r="B31" s="3" t="s">
        <v>7</v>
      </c>
      <c r="C31" s="2">
        <v>9</v>
      </c>
      <c r="D31" s="2" t="s">
        <v>9</v>
      </c>
      <c r="E31" s="2" t="s">
        <v>9</v>
      </c>
      <c r="F31" s="2">
        <v>2</v>
      </c>
      <c r="G31" s="2" t="s">
        <v>7</v>
      </c>
      <c r="H31" s="4" t="str">
        <f t="shared" si="0"/>
        <v>≥8 hours</v>
      </c>
    </row>
    <row r="32" spans="2:8">
      <c r="B32" s="3" t="s">
        <v>7</v>
      </c>
      <c r="C32" s="2">
        <v>8</v>
      </c>
      <c r="D32" s="2" t="s">
        <v>7</v>
      </c>
      <c r="E32" s="2" t="s">
        <v>7</v>
      </c>
      <c r="F32" s="2">
        <v>2</v>
      </c>
      <c r="G32" s="2" t="s">
        <v>7</v>
      </c>
      <c r="H32" s="4" t="str">
        <f t="shared" si="0"/>
        <v>≥8 hours</v>
      </c>
    </row>
    <row r="33" spans="2:8">
      <c r="B33" s="3" t="s">
        <v>9</v>
      </c>
      <c r="C33" s="2">
        <v>8</v>
      </c>
      <c r="D33" s="2" t="s">
        <v>9</v>
      </c>
      <c r="E33" s="2" t="s">
        <v>7</v>
      </c>
      <c r="F33" s="2">
        <v>3</v>
      </c>
      <c r="G33" s="2" t="s">
        <v>7</v>
      </c>
      <c r="H33" s="4" t="str">
        <f t="shared" si="0"/>
        <v>≥8 hours</v>
      </c>
    </row>
    <row r="34" spans="2:8">
      <c r="B34" s="3" t="s">
        <v>9</v>
      </c>
      <c r="C34" s="2">
        <v>6</v>
      </c>
      <c r="D34" s="2" t="s">
        <v>7</v>
      </c>
      <c r="E34" s="2" t="s">
        <v>7</v>
      </c>
      <c r="F34" s="2">
        <v>4</v>
      </c>
      <c r="G34" s="2" t="s">
        <v>9</v>
      </c>
      <c r="H34" s="4" t="str">
        <f t="shared" si="0"/>
        <v>6–7 hours</v>
      </c>
    </row>
    <row r="35" spans="2:8">
      <c r="B35" s="3" t="s">
        <v>9</v>
      </c>
      <c r="C35" s="2">
        <v>6</v>
      </c>
      <c r="D35" s="2" t="s">
        <v>9</v>
      </c>
      <c r="E35" s="2" t="s">
        <v>9</v>
      </c>
      <c r="F35" s="2">
        <v>3</v>
      </c>
      <c r="G35" s="2" t="s">
        <v>9</v>
      </c>
      <c r="H35" s="4" t="str">
        <f t="shared" si="0"/>
        <v>6–7 hours</v>
      </c>
    </row>
    <row r="36" spans="2:8">
      <c r="B36" s="3" t="s">
        <v>9</v>
      </c>
      <c r="C36" s="2">
        <v>7</v>
      </c>
      <c r="D36" s="2" t="s">
        <v>9</v>
      </c>
      <c r="E36" s="2" t="s">
        <v>7</v>
      </c>
      <c r="F36" s="2">
        <v>3</v>
      </c>
      <c r="G36" s="2" t="s">
        <v>7</v>
      </c>
      <c r="H36" s="4" t="str">
        <f t="shared" si="0"/>
        <v>6–7 hours</v>
      </c>
    </row>
    <row r="37" spans="2:8">
      <c r="B37" s="3" t="s">
        <v>9</v>
      </c>
      <c r="C37" s="2">
        <v>7</v>
      </c>
      <c r="D37" s="2" t="s">
        <v>7</v>
      </c>
      <c r="E37" s="2" t="s">
        <v>7</v>
      </c>
      <c r="F37" s="2">
        <v>3</v>
      </c>
      <c r="G37" s="2" t="s">
        <v>7</v>
      </c>
      <c r="H37" s="4" t="str">
        <f t="shared" si="0"/>
        <v>6–7 hours</v>
      </c>
    </row>
    <row r="38" spans="2:8">
      <c r="B38" s="3" t="s">
        <v>7</v>
      </c>
      <c r="C38" s="2">
        <v>7</v>
      </c>
      <c r="D38" s="2" t="s">
        <v>9</v>
      </c>
      <c r="E38" s="2" t="s">
        <v>9</v>
      </c>
      <c r="F38" s="2">
        <v>2</v>
      </c>
      <c r="G38" s="2" t="s">
        <v>7</v>
      </c>
      <c r="H38" s="4" t="str">
        <f t="shared" si="0"/>
        <v>6–7 hours</v>
      </c>
    </row>
    <row r="39" spans="2:8">
      <c r="B39" s="3" t="s">
        <v>7</v>
      </c>
      <c r="C39" s="2">
        <v>9</v>
      </c>
      <c r="D39" s="2" t="s">
        <v>9</v>
      </c>
      <c r="E39" s="2" t="s">
        <v>7</v>
      </c>
      <c r="F39" s="2">
        <v>2</v>
      </c>
      <c r="G39" s="2" t="s">
        <v>7</v>
      </c>
      <c r="H39" s="4" t="str">
        <f t="shared" si="0"/>
        <v>≥8 hours</v>
      </c>
    </row>
    <row r="40" spans="2:8">
      <c r="B40" s="3" t="s">
        <v>9</v>
      </c>
      <c r="C40" s="2">
        <v>5</v>
      </c>
      <c r="D40" s="2" t="s">
        <v>7</v>
      </c>
      <c r="E40" s="2" t="s">
        <v>9</v>
      </c>
      <c r="F40" s="2">
        <v>5</v>
      </c>
      <c r="G40" s="2" t="s">
        <v>9</v>
      </c>
      <c r="H40" s="4" t="str">
        <f t="shared" si="0"/>
        <v>≤5 hours</v>
      </c>
    </row>
    <row r="41" spans="2:8">
      <c r="B41" s="3" t="s">
        <v>9</v>
      </c>
      <c r="C41" s="2">
        <v>7</v>
      </c>
      <c r="D41" s="2" t="s">
        <v>7</v>
      </c>
      <c r="E41" s="2" t="s">
        <v>7</v>
      </c>
      <c r="F41" s="2">
        <v>2</v>
      </c>
      <c r="G41" s="2" t="s">
        <v>9</v>
      </c>
      <c r="H41" s="4" t="str">
        <f t="shared" si="0"/>
        <v>6–7 hours</v>
      </c>
    </row>
    <row r="42" spans="2:8">
      <c r="B42" s="3" t="s">
        <v>7</v>
      </c>
      <c r="C42" s="2">
        <v>8</v>
      </c>
      <c r="D42" s="2" t="s">
        <v>9</v>
      </c>
      <c r="E42" s="2" t="s">
        <v>7</v>
      </c>
      <c r="F42" s="2">
        <v>1</v>
      </c>
      <c r="G42" s="2" t="s">
        <v>7</v>
      </c>
      <c r="H42" s="4" t="str">
        <f t="shared" si="0"/>
        <v>≥8 hours</v>
      </c>
    </row>
    <row r="43" spans="2:8">
      <c r="B43" s="3" t="s">
        <v>9</v>
      </c>
      <c r="C43" s="2">
        <v>7</v>
      </c>
      <c r="D43" s="2" t="s">
        <v>9</v>
      </c>
      <c r="E43" s="2" t="s">
        <v>7</v>
      </c>
      <c r="F43" s="2">
        <v>4</v>
      </c>
      <c r="G43" s="2" t="s">
        <v>7</v>
      </c>
      <c r="H43" s="4" t="str">
        <f t="shared" si="0"/>
        <v>6–7 hours</v>
      </c>
    </row>
    <row r="44" spans="2:8">
      <c r="B44" s="3" t="s">
        <v>9</v>
      </c>
      <c r="C44" s="2">
        <v>5</v>
      </c>
      <c r="D44" s="2" t="s">
        <v>7</v>
      </c>
      <c r="E44" s="2" t="s">
        <v>7</v>
      </c>
      <c r="F44" s="2">
        <v>3</v>
      </c>
      <c r="G44" s="2" t="s">
        <v>9</v>
      </c>
      <c r="H44" s="4" t="str">
        <f t="shared" si="0"/>
        <v>≤5 hours</v>
      </c>
    </row>
    <row r="45" spans="2:8">
      <c r="B45" s="3" t="s">
        <v>9</v>
      </c>
      <c r="C45" s="2">
        <v>6</v>
      </c>
      <c r="D45" s="2" t="s">
        <v>7</v>
      </c>
      <c r="E45" s="2" t="s">
        <v>7</v>
      </c>
      <c r="F45" s="2">
        <v>3</v>
      </c>
      <c r="G45" s="2" t="s">
        <v>7</v>
      </c>
      <c r="H45" s="4" t="str">
        <f t="shared" si="0"/>
        <v>6–7 hours</v>
      </c>
    </row>
    <row r="46" spans="2:8">
      <c r="B46" s="3" t="s">
        <v>9</v>
      </c>
      <c r="C46" s="2">
        <v>4</v>
      </c>
      <c r="D46" s="2" t="s">
        <v>9</v>
      </c>
      <c r="E46" s="2" t="s">
        <v>9</v>
      </c>
      <c r="F46" s="2">
        <v>5</v>
      </c>
      <c r="G46" s="2" t="s">
        <v>9</v>
      </c>
      <c r="H46" s="4" t="str">
        <f t="shared" si="0"/>
        <v>≤5 hours</v>
      </c>
    </row>
    <row r="47" spans="2:8">
      <c r="B47" s="3" t="s">
        <v>9</v>
      </c>
      <c r="C47" s="2">
        <v>7</v>
      </c>
      <c r="D47" s="2" t="s">
        <v>7</v>
      </c>
      <c r="E47" s="2" t="s">
        <v>7</v>
      </c>
      <c r="F47" s="2">
        <v>4</v>
      </c>
      <c r="G47" s="2" t="s">
        <v>9</v>
      </c>
      <c r="H47" s="4" t="str">
        <f t="shared" si="0"/>
        <v>6–7 hours</v>
      </c>
    </row>
    <row r="48" spans="2:8">
      <c r="B48" s="3" t="s">
        <v>7</v>
      </c>
      <c r="C48" s="2">
        <v>9</v>
      </c>
      <c r="D48" s="2" t="s">
        <v>7</v>
      </c>
      <c r="E48" s="2" t="s">
        <v>7</v>
      </c>
      <c r="F48" s="2">
        <v>1</v>
      </c>
      <c r="G48" s="2" t="s">
        <v>7</v>
      </c>
      <c r="H48" s="4" t="str">
        <f t="shared" si="0"/>
        <v>≥8 hours</v>
      </c>
    </row>
    <row r="49" spans="2:8">
      <c r="B49" s="3" t="s">
        <v>9</v>
      </c>
      <c r="C49" s="2">
        <v>5</v>
      </c>
      <c r="D49" s="2" t="s">
        <v>9</v>
      </c>
      <c r="E49" s="2" t="s">
        <v>9</v>
      </c>
      <c r="F49" s="2">
        <v>5</v>
      </c>
      <c r="G49" s="2" t="s">
        <v>7</v>
      </c>
      <c r="H49" s="4" t="str">
        <f t="shared" si="0"/>
        <v>≤5 hours</v>
      </c>
    </row>
    <row r="50" spans="2:8">
      <c r="B50" s="3" t="s">
        <v>9</v>
      </c>
      <c r="C50" s="2">
        <v>6</v>
      </c>
      <c r="D50" s="2" t="s">
        <v>9</v>
      </c>
      <c r="E50" s="2" t="s">
        <v>7</v>
      </c>
      <c r="F50" s="2">
        <v>3</v>
      </c>
      <c r="G50" s="2" t="s">
        <v>7</v>
      </c>
      <c r="H50" s="4" t="str">
        <f t="shared" si="0"/>
        <v>6–7 hours</v>
      </c>
    </row>
    <row r="51" spans="2:8">
      <c r="B51" s="3" t="s">
        <v>9</v>
      </c>
      <c r="C51" s="2">
        <v>4</v>
      </c>
      <c r="D51" s="2" t="s">
        <v>7</v>
      </c>
      <c r="E51" s="2" t="s">
        <v>7</v>
      </c>
      <c r="F51" s="2">
        <v>2</v>
      </c>
      <c r="G51" s="2" t="s">
        <v>7</v>
      </c>
      <c r="H51" s="4" t="str">
        <f t="shared" si="0"/>
        <v>≤5 hours</v>
      </c>
    </row>
    <row r="52" spans="2:8">
      <c r="B52" s="3" t="s">
        <v>9</v>
      </c>
      <c r="C52" s="2">
        <v>5</v>
      </c>
      <c r="D52" s="2" t="s">
        <v>7</v>
      </c>
      <c r="E52" s="2" t="s">
        <v>9</v>
      </c>
      <c r="F52" s="2">
        <v>3</v>
      </c>
      <c r="G52" s="2" t="s">
        <v>9</v>
      </c>
      <c r="H52" s="4" t="str">
        <f t="shared" si="0"/>
        <v>≤5 hours</v>
      </c>
    </row>
    <row r="53" spans="2:8">
      <c r="B53" s="3" t="s">
        <v>9</v>
      </c>
      <c r="C53" s="2">
        <v>8</v>
      </c>
      <c r="D53" s="2" t="s">
        <v>7</v>
      </c>
      <c r="E53" s="2" t="s">
        <v>7</v>
      </c>
      <c r="F53" s="2">
        <v>3</v>
      </c>
      <c r="G53" s="2" t="s">
        <v>7</v>
      </c>
      <c r="H53" s="4" t="str">
        <f t="shared" si="0"/>
        <v>≥8 hours</v>
      </c>
    </row>
    <row r="54" spans="2:8">
      <c r="B54" s="3" t="s">
        <v>9</v>
      </c>
      <c r="C54" s="2">
        <v>7</v>
      </c>
      <c r="D54" s="2" t="s">
        <v>9</v>
      </c>
      <c r="E54" s="2" t="s">
        <v>7</v>
      </c>
      <c r="F54" s="2">
        <v>4</v>
      </c>
      <c r="G54" s="2" t="s">
        <v>7</v>
      </c>
      <c r="H54" s="4" t="str">
        <f t="shared" si="0"/>
        <v>6–7 hours</v>
      </c>
    </row>
    <row r="55" spans="2:8">
      <c r="B55" s="3" t="s">
        <v>9</v>
      </c>
      <c r="C55" s="2">
        <v>5</v>
      </c>
      <c r="D55" s="2" t="s">
        <v>7</v>
      </c>
      <c r="E55" s="2" t="s">
        <v>7</v>
      </c>
      <c r="F55" s="2">
        <v>2</v>
      </c>
      <c r="G55" s="2" t="s">
        <v>9</v>
      </c>
      <c r="H55" s="4" t="str">
        <f t="shared" si="0"/>
        <v>≤5 hours</v>
      </c>
    </row>
    <row r="56" spans="2:8">
      <c r="B56" s="3" t="s">
        <v>9</v>
      </c>
      <c r="C56" s="2">
        <v>7</v>
      </c>
      <c r="D56" s="2" t="s">
        <v>7</v>
      </c>
      <c r="E56" s="2" t="s">
        <v>7</v>
      </c>
      <c r="F56" s="2">
        <v>3</v>
      </c>
      <c r="G56" s="2" t="s">
        <v>7</v>
      </c>
      <c r="H56" s="4" t="str">
        <f t="shared" si="0"/>
        <v>6–7 hours</v>
      </c>
    </row>
    <row r="57" spans="2:8">
      <c r="B57" s="3" t="s">
        <v>9</v>
      </c>
      <c r="C57" s="2">
        <v>5</v>
      </c>
      <c r="D57" s="2" t="s">
        <v>9</v>
      </c>
      <c r="E57" s="2" t="s">
        <v>7</v>
      </c>
      <c r="F57" s="2">
        <v>2</v>
      </c>
      <c r="G57" s="2" t="s">
        <v>7</v>
      </c>
      <c r="H57" s="4" t="str">
        <f t="shared" si="0"/>
        <v>≤5 hours</v>
      </c>
    </row>
    <row r="58" spans="2:8">
      <c r="B58" s="3" t="s">
        <v>9</v>
      </c>
      <c r="C58" s="2">
        <v>6</v>
      </c>
      <c r="D58" s="2" t="s">
        <v>7</v>
      </c>
      <c r="E58" s="2" t="s">
        <v>7</v>
      </c>
      <c r="F58" s="2">
        <v>3</v>
      </c>
      <c r="G58" s="2" t="s">
        <v>9</v>
      </c>
      <c r="H58" s="4" t="str">
        <f t="shared" si="0"/>
        <v>6–7 hours</v>
      </c>
    </row>
    <row r="59" spans="2:8">
      <c r="B59" s="3" t="s">
        <v>9</v>
      </c>
      <c r="C59" s="2">
        <v>9</v>
      </c>
      <c r="D59" s="2" t="s">
        <v>9</v>
      </c>
      <c r="E59" s="2" t="s">
        <v>7</v>
      </c>
      <c r="F59" s="2">
        <v>5</v>
      </c>
      <c r="G59" s="2" t="s">
        <v>9</v>
      </c>
      <c r="H59" s="4" t="str">
        <f t="shared" si="0"/>
        <v>≥8 hours</v>
      </c>
    </row>
    <row r="60" spans="2:8">
      <c r="B60" s="3" t="s">
        <v>9</v>
      </c>
      <c r="C60" s="2">
        <v>9</v>
      </c>
      <c r="D60" s="2" t="s">
        <v>7</v>
      </c>
      <c r="E60" s="2" t="s">
        <v>9</v>
      </c>
      <c r="F60" s="2">
        <v>4</v>
      </c>
      <c r="G60" s="2" t="s">
        <v>7</v>
      </c>
      <c r="H60" s="4" t="str">
        <f t="shared" si="0"/>
        <v>≥8 hours</v>
      </c>
    </row>
    <row r="61" spans="2:8">
      <c r="B61" s="3" t="s">
        <v>7</v>
      </c>
      <c r="C61" s="2">
        <v>7</v>
      </c>
      <c r="D61" s="2" t="s">
        <v>7</v>
      </c>
      <c r="E61" s="2" t="s">
        <v>7</v>
      </c>
      <c r="F61" s="2">
        <v>2</v>
      </c>
      <c r="G61" s="2" t="s">
        <v>9</v>
      </c>
      <c r="H61" s="4" t="str">
        <f t="shared" si="0"/>
        <v>6–7 hours</v>
      </c>
    </row>
    <row r="62" spans="2:8">
      <c r="B62" s="3" t="s">
        <v>9</v>
      </c>
      <c r="C62" s="2">
        <v>6</v>
      </c>
      <c r="D62" s="2" t="s">
        <v>7</v>
      </c>
      <c r="E62" s="2" t="s">
        <v>7</v>
      </c>
      <c r="F62" s="2">
        <v>3</v>
      </c>
      <c r="G62" s="2" t="s">
        <v>9</v>
      </c>
      <c r="H62" s="4" t="str">
        <f t="shared" si="0"/>
        <v>6–7 hours</v>
      </c>
    </row>
    <row r="63" spans="2:8">
      <c r="B63" s="3" t="s">
        <v>9</v>
      </c>
      <c r="C63" s="2">
        <v>7</v>
      </c>
      <c r="D63" s="2" t="s">
        <v>7</v>
      </c>
      <c r="E63" s="2" t="s">
        <v>7</v>
      </c>
      <c r="F63" s="2">
        <v>3</v>
      </c>
      <c r="G63" s="2" t="s">
        <v>7</v>
      </c>
      <c r="H63" s="4" t="str">
        <f t="shared" si="0"/>
        <v>6–7 hours</v>
      </c>
    </row>
    <row r="64" spans="2:8">
      <c r="B64" s="3" t="s">
        <v>9</v>
      </c>
      <c r="C64" s="2">
        <v>2</v>
      </c>
      <c r="D64" s="2" t="s">
        <v>9</v>
      </c>
      <c r="E64" s="2" t="s">
        <v>9</v>
      </c>
      <c r="F64" s="2">
        <v>5</v>
      </c>
      <c r="G64" s="2" t="s">
        <v>9</v>
      </c>
      <c r="H64" s="4" t="str">
        <f t="shared" si="0"/>
        <v>≤5 hours</v>
      </c>
    </row>
    <row r="65" spans="2:8">
      <c r="B65" s="3" t="s">
        <v>9</v>
      </c>
      <c r="C65" s="2">
        <v>8</v>
      </c>
      <c r="D65" s="2" t="s">
        <v>7</v>
      </c>
      <c r="E65" s="2" t="s">
        <v>7</v>
      </c>
      <c r="F65" s="2">
        <v>5</v>
      </c>
      <c r="G65" s="2" t="s">
        <v>9</v>
      </c>
      <c r="H65" s="4" t="str">
        <f t="shared" si="0"/>
        <v>≥8 hours</v>
      </c>
    </row>
    <row r="66" spans="2:8">
      <c r="B66" s="3" t="s">
        <v>9</v>
      </c>
      <c r="C66" s="2">
        <v>7</v>
      </c>
      <c r="D66" s="2" t="s">
        <v>7</v>
      </c>
      <c r="E66" s="2" t="s">
        <v>7</v>
      </c>
      <c r="F66" s="2">
        <v>4</v>
      </c>
      <c r="G66" s="2" t="s">
        <v>7</v>
      </c>
      <c r="H66" s="4" t="str">
        <f t="shared" si="0"/>
        <v>6–7 hours</v>
      </c>
    </row>
    <row r="67" spans="2:8">
      <c r="B67" s="3" t="s">
        <v>7</v>
      </c>
      <c r="C67" s="2">
        <v>7</v>
      </c>
      <c r="D67" s="2" t="s">
        <v>7</v>
      </c>
      <c r="E67" s="2" t="s">
        <v>9</v>
      </c>
      <c r="F67" s="2">
        <v>1</v>
      </c>
      <c r="G67" s="2" t="s">
        <v>9</v>
      </c>
      <c r="H67" s="4" t="str">
        <f t="shared" ref="H67:H103" si="1">IF(C67&lt;=5,"≤5 hours",IF(C67&lt;=7,"6–7 hours","≥8 hours"))</f>
        <v>6–7 hours</v>
      </c>
    </row>
    <row r="68" spans="2:8">
      <c r="B68" s="3" t="s">
        <v>9</v>
      </c>
      <c r="C68" s="2">
        <v>7</v>
      </c>
      <c r="D68" s="2" t="s">
        <v>7</v>
      </c>
      <c r="E68" s="2" t="s">
        <v>7</v>
      </c>
      <c r="F68" s="2">
        <v>3</v>
      </c>
      <c r="G68" s="2" t="s">
        <v>7</v>
      </c>
      <c r="H68" s="4" t="str">
        <f t="shared" si="1"/>
        <v>6–7 hours</v>
      </c>
    </row>
    <row r="69" spans="2:8">
      <c r="B69" s="3" t="s">
        <v>7</v>
      </c>
      <c r="C69" s="2">
        <v>7</v>
      </c>
      <c r="D69" s="2" t="s">
        <v>7</v>
      </c>
      <c r="E69" s="2" t="s">
        <v>9</v>
      </c>
      <c r="F69" s="2">
        <v>3</v>
      </c>
      <c r="G69" s="2" t="s">
        <v>9</v>
      </c>
      <c r="H69" s="4" t="str">
        <f t="shared" si="1"/>
        <v>6–7 hours</v>
      </c>
    </row>
    <row r="70" spans="2:8">
      <c r="B70" s="3" t="s">
        <v>9</v>
      </c>
      <c r="C70" s="2">
        <v>6</v>
      </c>
      <c r="D70" s="2" t="s">
        <v>7</v>
      </c>
      <c r="E70" s="2" t="s">
        <v>7</v>
      </c>
      <c r="F70" s="2">
        <v>3</v>
      </c>
      <c r="G70" s="2" t="s">
        <v>7</v>
      </c>
      <c r="H70" s="4" t="str">
        <f t="shared" si="1"/>
        <v>6–7 hours</v>
      </c>
    </row>
    <row r="71" spans="2:8">
      <c r="B71" s="3" t="s">
        <v>7</v>
      </c>
      <c r="C71" s="2">
        <v>6</v>
      </c>
      <c r="D71" s="2" t="s">
        <v>9</v>
      </c>
      <c r="E71" s="2" t="s">
        <v>7</v>
      </c>
      <c r="F71" s="2">
        <v>4</v>
      </c>
      <c r="G71" s="2" t="s">
        <v>7</v>
      </c>
      <c r="H71" s="4" t="str">
        <f t="shared" si="1"/>
        <v>6–7 hours</v>
      </c>
    </row>
    <row r="72" spans="2:8">
      <c r="B72" s="3" t="s">
        <v>9</v>
      </c>
      <c r="C72" s="2">
        <v>5</v>
      </c>
      <c r="D72" s="2" t="s">
        <v>7</v>
      </c>
      <c r="E72" s="2" t="s">
        <v>7</v>
      </c>
      <c r="F72" s="2">
        <v>4</v>
      </c>
      <c r="G72" s="2" t="s">
        <v>7</v>
      </c>
      <c r="H72" s="4" t="str">
        <f t="shared" si="1"/>
        <v>≤5 hours</v>
      </c>
    </row>
    <row r="73" spans="2:8">
      <c r="B73" s="3" t="s">
        <v>9</v>
      </c>
      <c r="C73" s="2">
        <v>5</v>
      </c>
      <c r="D73" s="2" t="s">
        <v>7</v>
      </c>
      <c r="E73" s="2" t="s">
        <v>7</v>
      </c>
      <c r="F73" s="2">
        <v>4</v>
      </c>
      <c r="G73" s="2" t="s">
        <v>9</v>
      </c>
      <c r="H73" s="4" t="str">
        <f t="shared" si="1"/>
        <v>≤5 hours</v>
      </c>
    </row>
    <row r="74" spans="2:8">
      <c r="B74" s="3" t="s">
        <v>9</v>
      </c>
      <c r="C74" s="2">
        <v>6</v>
      </c>
      <c r="D74" s="2" t="s">
        <v>9</v>
      </c>
      <c r="E74" s="2" t="s">
        <v>7</v>
      </c>
      <c r="F74" s="2">
        <v>5</v>
      </c>
      <c r="G74" s="2" t="s">
        <v>7</v>
      </c>
      <c r="H74" s="4" t="str">
        <f t="shared" si="1"/>
        <v>6–7 hours</v>
      </c>
    </row>
    <row r="75" spans="2:8">
      <c r="B75" s="3" t="s">
        <v>7</v>
      </c>
      <c r="C75" s="2">
        <v>7</v>
      </c>
      <c r="D75" s="2" t="s">
        <v>7</v>
      </c>
      <c r="E75" s="2" t="s">
        <v>7</v>
      </c>
      <c r="F75" s="2">
        <v>4</v>
      </c>
      <c r="G75" s="2" t="s">
        <v>7</v>
      </c>
      <c r="H75" s="4" t="str">
        <f t="shared" si="1"/>
        <v>6–7 hours</v>
      </c>
    </row>
    <row r="76" spans="2:8">
      <c r="B76" s="3" t="s">
        <v>9</v>
      </c>
      <c r="C76" s="2">
        <v>6</v>
      </c>
      <c r="D76" s="2" t="s">
        <v>9</v>
      </c>
      <c r="E76" s="2" t="s">
        <v>7</v>
      </c>
      <c r="F76" s="2">
        <v>4</v>
      </c>
      <c r="G76" s="2" t="s">
        <v>9</v>
      </c>
      <c r="H76" s="4" t="str">
        <f t="shared" si="1"/>
        <v>6–7 hours</v>
      </c>
    </row>
    <row r="77" spans="2:8">
      <c r="B77" s="3" t="s">
        <v>9</v>
      </c>
      <c r="C77" s="2">
        <v>8</v>
      </c>
      <c r="D77" s="2" t="s">
        <v>7</v>
      </c>
      <c r="E77" s="2" t="s">
        <v>7</v>
      </c>
      <c r="F77" s="2">
        <v>4</v>
      </c>
      <c r="G77" s="2" t="s">
        <v>7</v>
      </c>
      <c r="H77" s="4" t="str">
        <f t="shared" si="1"/>
        <v>≥8 hours</v>
      </c>
    </row>
    <row r="78" spans="2:8">
      <c r="B78" s="3" t="s">
        <v>7</v>
      </c>
      <c r="C78" s="2">
        <v>6</v>
      </c>
      <c r="D78" s="2" t="s">
        <v>7</v>
      </c>
      <c r="E78" s="2" t="s">
        <v>7</v>
      </c>
      <c r="F78" s="2">
        <v>4</v>
      </c>
      <c r="G78" s="2" t="s">
        <v>9</v>
      </c>
      <c r="H78" s="4" t="str">
        <f t="shared" si="1"/>
        <v>6–7 hours</v>
      </c>
    </row>
    <row r="79" spans="2:8">
      <c r="B79" s="3" t="s">
        <v>9</v>
      </c>
      <c r="C79" s="2">
        <v>6</v>
      </c>
      <c r="D79" s="2" t="s">
        <v>7</v>
      </c>
      <c r="E79" s="2" t="s">
        <v>7</v>
      </c>
      <c r="F79" s="2">
        <v>3</v>
      </c>
      <c r="G79" s="2" t="s">
        <v>7</v>
      </c>
      <c r="H79" s="4" t="str">
        <f t="shared" si="1"/>
        <v>6–7 hours</v>
      </c>
    </row>
    <row r="80" spans="2:8">
      <c r="B80" s="3" t="s">
        <v>9</v>
      </c>
      <c r="C80" s="2">
        <v>7</v>
      </c>
      <c r="D80" s="2" t="s">
        <v>7</v>
      </c>
      <c r="E80" s="2" t="s">
        <v>7</v>
      </c>
      <c r="F80" s="2">
        <v>4</v>
      </c>
      <c r="G80" s="2" t="s">
        <v>9</v>
      </c>
      <c r="H80" s="4" t="str">
        <f t="shared" si="1"/>
        <v>6–7 hours</v>
      </c>
    </row>
    <row r="81" spans="2:8">
      <c r="B81" s="3" t="s">
        <v>7</v>
      </c>
      <c r="C81" s="2">
        <v>6</v>
      </c>
      <c r="D81" s="2" t="s">
        <v>7</v>
      </c>
      <c r="E81" s="2" t="s">
        <v>7</v>
      </c>
      <c r="F81" s="2">
        <v>3</v>
      </c>
      <c r="G81" s="2" t="s">
        <v>9</v>
      </c>
      <c r="H81" s="4" t="str">
        <f t="shared" si="1"/>
        <v>6–7 hours</v>
      </c>
    </row>
    <row r="82" spans="2:8">
      <c r="B82" s="3" t="s">
        <v>9</v>
      </c>
      <c r="C82" s="2">
        <v>6</v>
      </c>
      <c r="D82" s="2" t="s">
        <v>7</v>
      </c>
      <c r="E82" s="2" t="s">
        <v>7</v>
      </c>
      <c r="F82" s="2">
        <v>3</v>
      </c>
      <c r="G82" s="2" t="s">
        <v>9</v>
      </c>
      <c r="H82" s="4" t="str">
        <f t="shared" si="1"/>
        <v>6–7 hours</v>
      </c>
    </row>
    <row r="83" spans="2:8">
      <c r="B83" s="3" t="s">
        <v>9</v>
      </c>
      <c r="C83" s="2">
        <v>5</v>
      </c>
      <c r="D83" s="2" t="s">
        <v>9</v>
      </c>
      <c r="E83" s="2" t="s">
        <v>9</v>
      </c>
      <c r="F83" s="2">
        <v>4</v>
      </c>
      <c r="G83" s="2" t="s">
        <v>9</v>
      </c>
      <c r="H83" s="4" t="str">
        <f t="shared" si="1"/>
        <v>≤5 hours</v>
      </c>
    </row>
    <row r="84" spans="2:8">
      <c r="B84" s="3" t="s">
        <v>7</v>
      </c>
      <c r="C84" s="2">
        <v>8</v>
      </c>
      <c r="D84" s="2" t="s">
        <v>9</v>
      </c>
      <c r="E84" s="2" t="s">
        <v>9</v>
      </c>
      <c r="F84" s="2">
        <v>2</v>
      </c>
      <c r="G84" s="2" t="s">
        <v>7</v>
      </c>
      <c r="H84" s="4" t="str">
        <f t="shared" si="1"/>
        <v>≥8 hours</v>
      </c>
    </row>
    <row r="85" spans="2:8">
      <c r="B85" s="3" t="s">
        <v>7</v>
      </c>
      <c r="C85" s="2">
        <v>8</v>
      </c>
      <c r="D85" s="2" t="s">
        <v>9</v>
      </c>
      <c r="E85" s="2" t="s">
        <v>7</v>
      </c>
      <c r="F85" s="2">
        <v>1</v>
      </c>
      <c r="G85" s="2" t="s">
        <v>7</v>
      </c>
      <c r="H85" s="4" t="str">
        <f t="shared" si="1"/>
        <v>≥8 hours</v>
      </c>
    </row>
    <row r="86" spans="2:8">
      <c r="B86" s="3" t="s">
        <v>9</v>
      </c>
      <c r="C86" s="2">
        <v>6</v>
      </c>
      <c r="D86" s="2" t="s">
        <v>7</v>
      </c>
      <c r="E86" s="2" t="s">
        <v>7</v>
      </c>
      <c r="F86" s="2">
        <v>3</v>
      </c>
      <c r="G86" s="2" t="s">
        <v>9</v>
      </c>
      <c r="H86" s="4" t="str">
        <f t="shared" si="1"/>
        <v>6–7 hours</v>
      </c>
    </row>
    <row r="87" spans="2:8">
      <c r="B87" s="3" t="s">
        <v>9</v>
      </c>
      <c r="C87" s="2">
        <v>9</v>
      </c>
      <c r="D87" s="2" t="s">
        <v>9</v>
      </c>
      <c r="E87" s="2" t="s">
        <v>7</v>
      </c>
      <c r="F87" s="2">
        <v>5</v>
      </c>
      <c r="G87" s="2" t="s">
        <v>7</v>
      </c>
      <c r="H87" s="4" t="str">
        <f t="shared" si="1"/>
        <v>≥8 hours</v>
      </c>
    </row>
    <row r="88" spans="2:8">
      <c r="B88" s="3" t="s">
        <v>9</v>
      </c>
      <c r="C88" s="2">
        <v>5</v>
      </c>
      <c r="D88" s="2" t="s">
        <v>7</v>
      </c>
      <c r="E88" s="2" t="s">
        <v>9</v>
      </c>
      <c r="F88" s="2">
        <v>4</v>
      </c>
      <c r="G88" s="2" t="s">
        <v>7</v>
      </c>
      <c r="H88" s="4" t="str">
        <f t="shared" si="1"/>
        <v>≤5 hours</v>
      </c>
    </row>
    <row r="89" spans="2:8">
      <c r="B89" s="3" t="s">
        <v>9</v>
      </c>
      <c r="C89" s="2">
        <v>6</v>
      </c>
      <c r="D89" s="2" t="s">
        <v>7</v>
      </c>
      <c r="E89" s="2" t="s">
        <v>9</v>
      </c>
      <c r="F89" s="2">
        <v>2</v>
      </c>
      <c r="G89" s="2" t="s">
        <v>7</v>
      </c>
      <c r="H89" s="4" t="str">
        <f t="shared" si="1"/>
        <v>6–7 hours</v>
      </c>
    </row>
    <row r="90" spans="2:8">
      <c r="B90" s="3" t="s">
        <v>7</v>
      </c>
      <c r="C90" s="2">
        <v>8</v>
      </c>
      <c r="D90" s="2" t="s">
        <v>9</v>
      </c>
      <c r="E90" s="2" t="s">
        <v>7</v>
      </c>
      <c r="F90" s="2">
        <v>3</v>
      </c>
      <c r="G90" s="2" t="s">
        <v>7</v>
      </c>
      <c r="H90" s="4" t="str">
        <f t="shared" si="1"/>
        <v>≥8 hours</v>
      </c>
    </row>
    <row r="91" spans="2:8">
      <c r="B91" s="3" t="s">
        <v>9</v>
      </c>
      <c r="C91" s="2">
        <v>7</v>
      </c>
      <c r="D91" s="2" t="s">
        <v>9</v>
      </c>
      <c r="E91" s="2" t="s">
        <v>7</v>
      </c>
      <c r="F91" s="2">
        <v>4</v>
      </c>
      <c r="G91" s="2" t="s">
        <v>7</v>
      </c>
      <c r="H91" s="4" t="str">
        <f t="shared" si="1"/>
        <v>6–7 hours</v>
      </c>
    </row>
    <row r="92" spans="2:8">
      <c r="B92" s="3" t="s">
        <v>7</v>
      </c>
      <c r="C92" s="2">
        <v>7</v>
      </c>
      <c r="D92" s="2" t="s">
        <v>9</v>
      </c>
      <c r="E92" s="2" t="s">
        <v>7</v>
      </c>
      <c r="F92" s="2">
        <v>2</v>
      </c>
      <c r="G92" s="2" t="s">
        <v>7</v>
      </c>
      <c r="H92" s="4" t="str">
        <f t="shared" si="1"/>
        <v>6–7 hours</v>
      </c>
    </row>
    <row r="93" spans="2:8">
      <c r="B93" s="3" t="s">
        <v>7</v>
      </c>
      <c r="C93" s="2">
        <v>9</v>
      </c>
      <c r="D93" s="2" t="s">
        <v>9</v>
      </c>
      <c r="E93" s="2" t="s">
        <v>9</v>
      </c>
      <c r="F93" s="2">
        <v>2</v>
      </c>
      <c r="G93" s="2" t="s">
        <v>7</v>
      </c>
      <c r="H93" s="4" t="str">
        <f t="shared" si="1"/>
        <v>≥8 hours</v>
      </c>
    </row>
    <row r="94" spans="2:8">
      <c r="B94" s="3" t="s">
        <v>7</v>
      </c>
      <c r="C94" s="2">
        <v>8</v>
      </c>
      <c r="D94" s="2" t="s">
        <v>7</v>
      </c>
      <c r="E94" s="2" t="s">
        <v>7</v>
      </c>
      <c r="F94" s="2">
        <v>4</v>
      </c>
      <c r="G94" s="2" t="s">
        <v>9</v>
      </c>
      <c r="H94" s="4" t="str">
        <f t="shared" si="1"/>
        <v>≥8 hours</v>
      </c>
    </row>
    <row r="95" spans="2:8">
      <c r="B95" s="3" t="s">
        <v>7</v>
      </c>
      <c r="C95" s="2">
        <v>7</v>
      </c>
      <c r="D95" s="2" t="s">
        <v>9</v>
      </c>
      <c r="E95" s="2" t="s">
        <v>7</v>
      </c>
      <c r="F95" s="2">
        <v>2</v>
      </c>
      <c r="G95" s="2" t="s">
        <v>7</v>
      </c>
      <c r="H95" s="4" t="str">
        <f t="shared" si="1"/>
        <v>6–7 hours</v>
      </c>
    </row>
    <row r="96" spans="2:8">
      <c r="B96" s="3" t="s">
        <v>9</v>
      </c>
      <c r="C96" s="2">
        <v>7</v>
      </c>
      <c r="D96" s="2" t="s">
        <v>7</v>
      </c>
      <c r="E96" s="2" t="s">
        <v>7</v>
      </c>
      <c r="F96" s="2">
        <v>4</v>
      </c>
      <c r="G96" s="2" t="s">
        <v>7</v>
      </c>
      <c r="H96" s="4" t="str">
        <f t="shared" si="1"/>
        <v>6–7 hours</v>
      </c>
    </row>
    <row r="97" spans="2:8">
      <c r="B97" s="3" t="s">
        <v>7</v>
      </c>
      <c r="C97" s="2">
        <v>7</v>
      </c>
      <c r="D97" s="2" t="s">
        <v>7</v>
      </c>
      <c r="E97" s="2" t="s">
        <v>7</v>
      </c>
      <c r="F97" s="2">
        <v>2</v>
      </c>
      <c r="G97" s="2" t="s">
        <v>9</v>
      </c>
      <c r="H97" s="4" t="str">
        <f t="shared" si="1"/>
        <v>6–7 hours</v>
      </c>
    </row>
    <row r="98" spans="2:8">
      <c r="B98" s="3" t="s">
        <v>9</v>
      </c>
      <c r="C98" s="2">
        <v>6</v>
      </c>
      <c r="D98" s="2" t="s">
        <v>7</v>
      </c>
      <c r="E98" s="2" t="s">
        <v>7</v>
      </c>
      <c r="F98" s="2">
        <v>3</v>
      </c>
      <c r="G98" s="2" t="s">
        <v>9</v>
      </c>
      <c r="H98" s="4" t="str">
        <f t="shared" si="1"/>
        <v>6–7 hours</v>
      </c>
    </row>
    <row r="99" spans="2:8">
      <c r="B99" s="3" t="s">
        <v>9</v>
      </c>
      <c r="C99" s="2">
        <v>7</v>
      </c>
      <c r="D99" s="2" t="s">
        <v>7</v>
      </c>
      <c r="E99" s="2" t="s">
        <v>7</v>
      </c>
      <c r="F99" s="2">
        <v>2</v>
      </c>
      <c r="G99" s="2" t="s">
        <v>7</v>
      </c>
      <c r="H99" s="4" t="str">
        <f t="shared" si="1"/>
        <v>6–7 hours</v>
      </c>
    </row>
    <row r="100" spans="2:8">
      <c r="B100" s="3" t="s">
        <v>9</v>
      </c>
      <c r="C100" s="2">
        <v>7</v>
      </c>
      <c r="D100" s="2" t="s">
        <v>9</v>
      </c>
      <c r="E100" s="2" t="s">
        <v>7</v>
      </c>
      <c r="F100" s="2">
        <v>3</v>
      </c>
      <c r="G100" s="2" t="s">
        <v>7</v>
      </c>
      <c r="H100" s="4" t="str">
        <f t="shared" si="1"/>
        <v>6–7 hours</v>
      </c>
    </row>
    <row r="101" spans="2:8">
      <c r="B101" s="3" t="s">
        <v>7</v>
      </c>
      <c r="C101" s="2">
        <v>8</v>
      </c>
      <c r="D101" s="2" t="s">
        <v>7</v>
      </c>
      <c r="E101" s="2" t="s">
        <v>7</v>
      </c>
      <c r="F101" s="2">
        <v>3</v>
      </c>
      <c r="G101" s="2" t="s">
        <v>7</v>
      </c>
      <c r="H101" s="4" t="str">
        <f t="shared" si="1"/>
        <v>≥8 hours</v>
      </c>
    </row>
    <row r="102" spans="2:8">
      <c r="B102" s="3" t="s">
        <v>7</v>
      </c>
      <c r="C102" s="2">
        <v>7</v>
      </c>
      <c r="D102" s="2" t="s">
        <v>7</v>
      </c>
      <c r="E102" s="2" t="s">
        <v>7</v>
      </c>
      <c r="F102" s="2">
        <v>2</v>
      </c>
      <c r="G102" s="2" t="s">
        <v>7</v>
      </c>
      <c r="H102" s="4" t="str">
        <f t="shared" si="1"/>
        <v>6–7 hours</v>
      </c>
    </row>
    <row r="103" spans="2:8">
      <c r="B103" s="8" t="s">
        <v>7</v>
      </c>
      <c r="C103" s="9">
        <v>6</v>
      </c>
      <c r="D103" s="9" t="s">
        <v>7</v>
      </c>
      <c r="E103" s="9" t="s">
        <v>7</v>
      </c>
      <c r="F103" s="9">
        <v>3</v>
      </c>
      <c r="G103" s="9" t="s">
        <v>7</v>
      </c>
      <c r="H103" s="10" t="str">
        <f t="shared" si="1"/>
        <v>6–7 hours</v>
      </c>
    </row>
    <row r="106" spans="2:8" ht="15">
      <c r="B106" s="1" t="s">
        <v>10</v>
      </c>
      <c r="C106" s="40"/>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37642-553F-4E2D-9870-CC3C969C9445}">
  <dimension ref="A1:K16"/>
  <sheetViews>
    <sheetView topLeftCell="C1" zoomScale="86" workbookViewId="0">
      <selection activeCell="F20" sqref="F20"/>
    </sheetView>
  </sheetViews>
  <sheetFormatPr defaultRowHeight="14.45"/>
  <cols>
    <col min="1" max="1" width="14.5703125" bestFit="1" customWidth="1"/>
    <col min="2" max="2" width="21.140625" bestFit="1" customWidth="1"/>
    <col min="4" max="4" width="14" bestFit="1" customWidth="1"/>
    <col min="5" max="5" width="21.5703125" bestFit="1" customWidth="1"/>
    <col min="7" max="7" width="15.140625" bestFit="1" customWidth="1"/>
    <col min="8" max="8" width="21.140625" bestFit="1" customWidth="1"/>
    <col min="9" max="9" width="6.85546875" customWidth="1"/>
    <col min="10" max="10" width="7.42578125" customWidth="1"/>
    <col min="11" max="11" width="18.28515625" customWidth="1"/>
    <col min="12" max="12" width="3" bestFit="1" customWidth="1"/>
    <col min="13" max="13" width="11.42578125" bestFit="1" customWidth="1"/>
    <col min="14" max="15" width="4.5703125" bestFit="1" customWidth="1"/>
    <col min="16" max="16" width="10.7109375" bestFit="1" customWidth="1"/>
  </cols>
  <sheetData>
    <row r="1" spans="1:11">
      <c r="A1" t="s">
        <v>11</v>
      </c>
      <c r="B1" t="s">
        <v>12</v>
      </c>
      <c r="D1" s="11" t="s">
        <v>13</v>
      </c>
      <c r="E1" t="s">
        <v>12</v>
      </c>
      <c r="G1" s="11" t="s">
        <v>2</v>
      </c>
      <c r="H1" t="s">
        <v>12</v>
      </c>
    </row>
    <row r="2" spans="1:11">
      <c r="A2" s="38">
        <v>6.6568627450980395</v>
      </c>
      <c r="B2" s="38">
        <v>3.0882352941176472</v>
      </c>
      <c r="D2" s="12" t="s">
        <v>9</v>
      </c>
      <c r="E2" s="38">
        <v>3.225806451612903</v>
      </c>
      <c r="G2" t="s">
        <v>9</v>
      </c>
      <c r="H2" s="38">
        <v>3.225806451612903</v>
      </c>
    </row>
    <row r="3" spans="1:11">
      <c r="D3" s="12" t="s">
        <v>7</v>
      </c>
      <c r="E3" s="38">
        <v>3.028169014084507</v>
      </c>
      <c r="G3" t="s">
        <v>7</v>
      </c>
      <c r="H3" s="38">
        <v>3.028169014084507</v>
      </c>
    </row>
    <row r="4" spans="1:11">
      <c r="D4" s="12" t="s">
        <v>14</v>
      </c>
      <c r="E4" s="38">
        <v>3.0882352941176472</v>
      </c>
      <c r="G4" t="s">
        <v>14</v>
      </c>
      <c r="H4" s="38">
        <v>3.0882352941176472</v>
      </c>
    </row>
    <row r="5" spans="1:11">
      <c r="A5" s="11" t="s">
        <v>15</v>
      </c>
      <c r="B5" t="s">
        <v>16</v>
      </c>
    </row>
    <row r="6" spans="1:11">
      <c r="A6" s="12" t="s">
        <v>9</v>
      </c>
      <c r="B6" s="38">
        <v>6.2686567164179108</v>
      </c>
      <c r="D6" s="11" t="s">
        <v>5</v>
      </c>
      <c r="E6" t="s">
        <v>12</v>
      </c>
    </row>
    <row r="7" spans="1:11">
      <c r="A7" s="12" t="s">
        <v>7</v>
      </c>
      <c r="B7" s="38">
        <v>7.4</v>
      </c>
      <c r="D7" s="12" t="s">
        <v>9</v>
      </c>
      <c r="E7" s="38">
        <v>3.3902439024390243</v>
      </c>
      <c r="G7" s="11" t="s">
        <v>1</v>
      </c>
      <c r="H7" t="s">
        <v>12</v>
      </c>
    </row>
    <row r="8" spans="1:11">
      <c r="A8" s="12" t="s">
        <v>14</v>
      </c>
      <c r="B8" s="38">
        <v>6.6568627450980395</v>
      </c>
      <c r="D8" s="12" t="s">
        <v>7</v>
      </c>
      <c r="E8" s="38">
        <v>2.8852459016393444</v>
      </c>
      <c r="G8">
        <v>2</v>
      </c>
      <c r="H8" s="41">
        <v>5</v>
      </c>
      <c r="J8">
        <f>G8</f>
        <v>2</v>
      </c>
      <c r="K8">
        <f>H8</f>
        <v>5</v>
      </c>
    </row>
    <row r="9" spans="1:11">
      <c r="D9" s="12" t="s">
        <v>14</v>
      </c>
      <c r="E9" s="38">
        <v>3.0882352941176472</v>
      </c>
      <c r="G9">
        <v>4</v>
      </c>
      <c r="H9" s="39">
        <v>2.75</v>
      </c>
      <c r="J9">
        <f t="shared" ref="J9:J15" si="0">G9</f>
        <v>4</v>
      </c>
      <c r="K9" s="39">
        <f t="shared" ref="K9:K15" si="1">H9</f>
        <v>2.75</v>
      </c>
    </row>
    <row r="10" spans="1:11">
      <c r="G10">
        <v>5</v>
      </c>
      <c r="H10" s="39">
        <v>3.4166666666666665</v>
      </c>
      <c r="J10">
        <f t="shared" si="0"/>
        <v>5</v>
      </c>
      <c r="K10" s="39">
        <f t="shared" si="1"/>
        <v>3.4166666666666665</v>
      </c>
    </row>
    <row r="11" spans="1:11">
      <c r="A11" s="11" t="s">
        <v>17</v>
      </c>
      <c r="B11" t="s">
        <v>12</v>
      </c>
      <c r="D11" s="11" t="s">
        <v>18</v>
      </c>
      <c r="E11" s="33" t="s">
        <v>19</v>
      </c>
      <c r="G11">
        <v>6</v>
      </c>
      <c r="H11" s="39">
        <v>3.1666666666666665</v>
      </c>
      <c r="J11">
        <f t="shared" si="0"/>
        <v>6</v>
      </c>
      <c r="K11" s="39">
        <f t="shared" si="1"/>
        <v>3.1666666666666665</v>
      </c>
    </row>
    <row r="12" spans="1:11">
      <c r="A12" s="12" t="s">
        <v>20</v>
      </c>
      <c r="B12" s="38">
        <v>3.4444444444444446</v>
      </c>
      <c r="D12" s="12" t="s">
        <v>9</v>
      </c>
      <c r="E12" s="33">
        <v>0.65686274509803921</v>
      </c>
      <c r="G12">
        <v>7</v>
      </c>
      <c r="H12" s="39">
        <v>2.9714285714285715</v>
      </c>
      <c r="J12">
        <f t="shared" si="0"/>
        <v>7</v>
      </c>
      <c r="K12" s="39">
        <f t="shared" si="1"/>
        <v>2.9714285714285715</v>
      </c>
    </row>
    <row r="13" spans="1:11">
      <c r="A13" s="12" t="s">
        <v>21</v>
      </c>
      <c r="B13" s="38">
        <v>3.0508474576271185</v>
      </c>
      <c r="D13" s="12" t="s">
        <v>7</v>
      </c>
      <c r="E13" s="33">
        <v>0.34313725490196079</v>
      </c>
      <c r="G13">
        <v>8</v>
      </c>
      <c r="H13" s="39">
        <v>2.8125</v>
      </c>
      <c r="J13">
        <f t="shared" si="0"/>
        <v>8</v>
      </c>
      <c r="K13" s="39">
        <f t="shared" si="1"/>
        <v>2.8125</v>
      </c>
    </row>
    <row r="14" spans="1:11">
      <c r="A14" s="12" t="s">
        <v>22</v>
      </c>
      <c r="B14" s="38">
        <v>2.92</v>
      </c>
      <c r="D14" s="12" t="s">
        <v>14</v>
      </c>
      <c r="E14" s="33">
        <v>1</v>
      </c>
      <c r="G14">
        <v>9</v>
      </c>
      <c r="H14" s="41">
        <v>3</v>
      </c>
      <c r="J14">
        <f t="shared" si="0"/>
        <v>9</v>
      </c>
      <c r="K14">
        <f t="shared" si="1"/>
        <v>3</v>
      </c>
    </row>
    <row r="15" spans="1:11">
      <c r="A15" s="12" t="s">
        <v>14</v>
      </c>
      <c r="B15" s="38">
        <v>3.0882352941176472</v>
      </c>
      <c r="G15">
        <v>10</v>
      </c>
      <c r="H15" s="41">
        <v>4</v>
      </c>
      <c r="J15">
        <f t="shared" si="0"/>
        <v>10</v>
      </c>
      <c r="K15">
        <f t="shared" si="1"/>
        <v>4</v>
      </c>
    </row>
    <row r="16" spans="1:11">
      <c r="G16" t="s">
        <v>14</v>
      </c>
      <c r="H16" s="39">
        <v>3.0882352941176472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BDB65-AC78-4C0E-9534-6E52EB0D91F2}">
  <dimension ref="A1:AP74"/>
  <sheetViews>
    <sheetView topLeftCell="A18" zoomScale="36" workbookViewId="0">
      <selection activeCell="AJ48" sqref="AJ48"/>
    </sheetView>
  </sheetViews>
  <sheetFormatPr defaultRowHeight="14.45"/>
  <sheetData>
    <row r="1" spans="1:40">
      <c r="A1" s="34"/>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row>
    <row r="2" spans="1:40">
      <c r="A2" s="34"/>
      <c r="B2" s="34"/>
      <c r="C2" s="34"/>
      <c r="D2" s="34"/>
      <c r="E2" s="34"/>
      <c r="F2" s="34"/>
      <c r="G2" s="34"/>
      <c r="H2" s="34"/>
      <c r="I2" s="34"/>
      <c r="J2" s="34"/>
      <c r="K2" s="34"/>
      <c r="L2" s="34"/>
      <c r="M2" s="34"/>
      <c r="N2" s="34"/>
      <c r="O2" s="34"/>
      <c r="P2" s="34"/>
      <c r="Q2" s="34"/>
      <c r="R2" s="34"/>
      <c r="S2" s="34"/>
      <c r="T2" s="34"/>
      <c r="U2" s="34"/>
      <c r="V2" s="34"/>
      <c r="W2" s="34"/>
      <c r="X2" s="34"/>
      <c r="Y2" s="34"/>
      <c r="Z2" s="34"/>
      <c r="AA2" s="34"/>
      <c r="AB2" s="34"/>
      <c r="AC2" s="34"/>
      <c r="AD2" s="34"/>
      <c r="AE2" s="34"/>
      <c r="AF2" s="34"/>
      <c r="AG2" s="34"/>
      <c r="AH2" s="34"/>
      <c r="AI2" s="34"/>
      <c r="AJ2" s="34"/>
      <c r="AK2" s="34"/>
      <c r="AL2" s="34"/>
      <c r="AM2" s="34"/>
      <c r="AN2" s="34"/>
    </row>
    <row r="3" spans="1:40">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row>
    <row r="4" spans="1:40">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row>
    <row r="5" spans="1:40">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row>
    <row r="6" spans="1:40">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row>
    <row r="7" spans="1:40">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row>
    <row r="8" spans="1:40" ht="15">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row>
    <row r="9" spans="1:40" ht="15">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row>
    <row r="10" spans="1:40" ht="14.45" customHeight="1">
      <c r="A10" s="34"/>
      <c r="B10" s="34"/>
      <c r="C10" s="34"/>
      <c r="D10" s="34"/>
      <c r="E10" s="34"/>
      <c r="F10" s="34"/>
      <c r="G10" s="42" t="str">
        <f>ROUND('Pivot Table'!A2,1) &amp; " hr"</f>
        <v>6.7 hr</v>
      </c>
      <c r="H10" s="42"/>
      <c r="I10" s="42"/>
      <c r="J10" s="42"/>
      <c r="K10" s="42"/>
      <c r="L10" s="42"/>
      <c r="M10" s="42"/>
      <c r="N10" s="42"/>
      <c r="O10" s="42"/>
      <c r="P10" s="34"/>
      <c r="Q10" s="34"/>
      <c r="R10" s="34"/>
      <c r="S10" s="34"/>
      <c r="T10" s="34"/>
      <c r="U10" s="34"/>
      <c r="V10" s="43" t="str">
        <f>ROUND('Pivot Table'!B2,1) &amp; " / 5"</f>
        <v>3.1 / 5</v>
      </c>
      <c r="W10" s="43"/>
      <c r="X10" s="43"/>
      <c r="Y10" s="43"/>
      <c r="Z10" s="43"/>
      <c r="AA10" s="43"/>
      <c r="AB10" s="43"/>
      <c r="AC10" s="43"/>
      <c r="AD10" s="43"/>
      <c r="AE10" s="34"/>
      <c r="AF10" s="34"/>
      <c r="AG10" s="34"/>
      <c r="AH10" s="34"/>
      <c r="AI10" s="34"/>
      <c r="AJ10" s="34"/>
      <c r="AK10" s="34"/>
      <c r="AL10" s="34"/>
      <c r="AM10" s="34"/>
      <c r="AN10" s="34"/>
    </row>
    <row r="11" spans="1:40" ht="14.45" customHeight="1">
      <c r="A11" s="34"/>
      <c r="B11" s="34"/>
      <c r="C11" s="34"/>
      <c r="D11" s="34"/>
      <c r="E11" s="34"/>
      <c r="F11" s="34"/>
      <c r="G11" s="42"/>
      <c r="H11" s="42"/>
      <c r="I11" s="42"/>
      <c r="J11" s="42"/>
      <c r="K11" s="42"/>
      <c r="L11" s="42"/>
      <c r="M11" s="42"/>
      <c r="N11" s="42"/>
      <c r="O11" s="42"/>
      <c r="P11" s="34"/>
      <c r="Q11" s="34"/>
      <c r="R11" s="34"/>
      <c r="S11" s="34"/>
      <c r="T11" s="34"/>
      <c r="U11" s="34"/>
      <c r="V11" s="43"/>
      <c r="W11" s="43"/>
      <c r="X11" s="43"/>
      <c r="Y11" s="43"/>
      <c r="Z11" s="43"/>
      <c r="AA11" s="43"/>
      <c r="AB11" s="43"/>
      <c r="AC11" s="43"/>
      <c r="AD11" s="43"/>
      <c r="AE11" s="34"/>
      <c r="AF11" s="34"/>
      <c r="AG11" s="34"/>
      <c r="AH11" s="34"/>
      <c r="AI11" s="34"/>
      <c r="AJ11" s="34"/>
      <c r="AK11" s="34"/>
      <c r="AL11" s="34"/>
      <c r="AM11" s="34"/>
      <c r="AN11" s="34"/>
    </row>
    <row r="12" spans="1:40" ht="14.45" customHeight="1">
      <c r="A12" s="34"/>
      <c r="B12" s="34"/>
      <c r="C12" s="34"/>
      <c r="D12" s="34"/>
      <c r="E12" s="34"/>
      <c r="F12" s="34"/>
      <c r="G12" s="42"/>
      <c r="H12" s="42"/>
      <c r="I12" s="42"/>
      <c r="J12" s="42"/>
      <c r="K12" s="42"/>
      <c r="L12" s="42"/>
      <c r="M12" s="42"/>
      <c r="N12" s="42"/>
      <c r="O12" s="42"/>
      <c r="P12" s="34"/>
      <c r="Q12" s="34"/>
      <c r="R12" s="34"/>
      <c r="S12" s="34"/>
      <c r="T12" s="34"/>
      <c r="U12" s="34"/>
      <c r="V12" s="43"/>
      <c r="W12" s="43"/>
      <c r="X12" s="43"/>
      <c r="Y12" s="43"/>
      <c r="Z12" s="43"/>
      <c r="AA12" s="43"/>
      <c r="AB12" s="43"/>
      <c r="AC12" s="43"/>
      <c r="AD12" s="43"/>
      <c r="AE12" s="34"/>
      <c r="AF12" s="34"/>
      <c r="AG12" s="34"/>
      <c r="AH12" s="34"/>
      <c r="AI12" s="34"/>
      <c r="AJ12" s="34"/>
      <c r="AK12" s="34"/>
      <c r="AL12" s="34"/>
      <c r="AM12" s="34"/>
      <c r="AN12" s="34"/>
    </row>
    <row r="13" spans="1:40" ht="14.45" customHeight="1">
      <c r="A13" s="34"/>
      <c r="B13" s="34"/>
      <c r="C13" s="34"/>
      <c r="D13" s="34"/>
      <c r="E13" s="34"/>
      <c r="F13" s="34"/>
      <c r="G13" s="42"/>
      <c r="H13" s="42"/>
      <c r="I13" s="42"/>
      <c r="J13" s="42"/>
      <c r="K13" s="42"/>
      <c r="L13" s="42"/>
      <c r="M13" s="42"/>
      <c r="N13" s="42"/>
      <c r="O13" s="42"/>
      <c r="P13" s="34"/>
      <c r="Q13" s="34"/>
      <c r="R13" s="34"/>
      <c r="S13" s="34"/>
      <c r="T13" s="34"/>
      <c r="U13" s="34"/>
      <c r="V13" s="43"/>
      <c r="W13" s="43"/>
      <c r="X13" s="43"/>
      <c r="Y13" s="43"/>
      <c r="Z13" s="43"/>
      <c r="AA13" s="43"/>
      <c r="AB13" s="43"/>
      <c r="AC13" s="43"/>
      <c r="AD13" s="43"/>
      <c r="AE13" s="36"/>
      <c r="AF13" s="36"/>
      <c r="AG13" s="36"/>
      <c r="AH13" s="36"/>
      <c r="AI13" s="36"/>
      <c r="AJ13" s="36"/>
      <c r="AK13" s="36"/>
      <c r="AL13" s="34"/>
      <c r="AM13" s="34"/>
      <c r="AN13" s="34"/>
    </row>
    <row r="14" spans="1:40" ht="14.45" customHeight="1">
      <c r="A14" s="34"/>
      <c r="B14" s="34"/>
      <c r="C14" s="34"/>
      <c r="D14" s="34"/>
      <c r="E14" s="34"/>
      <c r="F14" s="34"/>
      <c r="G14" s="42"/>
      <c r="H14" s="42"/>
      <c r="I14" s="42"/>
      <c r="J14" s="42"/>
      <c r="K14" s="42"/>
      <c r="L14" s="42"/>
      <c r="M14" s="42"/>
      <c r="N14" s="42"/>
      <c r="O14" s="42"/>
      <c r="P14" s="34"/>
      <c r="Q14" s="34"/>
      <c r="R14" s="34"/>
      <c r="S14" s="34"/>
      <c r="T14" s="34"/>
      <c r="U14" s="34"/>
      <c r="V14" s="43"/>
      <c r="W14" s="43"/>
      <c r="X14" s="43"/>
      <c r="Y14" s="43"/>
      <c r="Z14" s="43"/>
      <c r="AA14" s="43"/>
      <c r="AB14" s="43"/>
      <c r="AC14" s="43"/>
      <c r="AD14" s="43"/>
      <c r="AE14" s="36"/>
      <c r="AF14" s="36"/>
      <c r="AG14" s="36"/>
      <c r="AH14" s="36"/>
      <c r="AI14" s="36"/>
      <c r="AJ14" s="36"/>
      <c r="AK14" s="36"/>
      <c r="AL14" s="34"/>
      <c r="AM14" s="34"/>
      <c r="AN14" s="34"/>
    </row>
    <row r="15" spans="1:40" ht="14.45" customHeight="1">
      <c r="A15" s="34"/>
      <c r="B15" s="34"/>
      <c r="C15" s="34"/>
      <c r="D15" s="34"/>
      <c r="E15" s="34"/>
      <c r="F15" s="34"/>
      <c r="G15" s="42"/>
      <c r="H15" s="42"/>
      <c r="I15" s="42"/>
      <c r="J15" s="42"/>
      <c r="K15" s="42"/>
      <c r="L15" s="42"/>
      <c r="M15" s="42"/>
      <c r="N15" s="42"/>
      <c r="O15" s="42"/>
      <c r="P15" s="34"/>
      <c r="Q15" s="34"/>
      <c r="R15" s="34"/>
      <c r="S15" s="34"/>
      <c r="T15" s="34"/>
      <c r="U15" s="34"/>
      <c r="V15" s="43"/>
      <c r="W15" s="43"/>
      <c r="X15" s="43"/>
      <c r="Y15" s="43"/>
      <c r="Z15" s="43"/>
      <c r="AA15" s="43"/>
      <c r="AB15" s="43"/>
      <c r="AC15" s="43"/>
      <c r="AD15" s="43"/>
      <c r="AE15" s="36"/>
      <c r="AF15" s="36"/>
      <c r="AG15" s="36"/>
      <c r="AH15" s="36"/>
      <c r="AI15" s="36"/>
      <c r="AJ15" s="36"/>
      <c r="AK15" s="36"/>
      <c r="AL15" s="34"/>
      <c r="AM15" s="34"/>
      <c r="AN15" s="34"/>
    </row>
    <row r="16" spans="1:40" ht="14.45" customHeight="1">
      <c r="A16" s="34"/>
      <c r="B16" s="34"/>
      <c r="C16" s="34"/>
      <c r="D16" s="34"/>
      <c r="E16" s="34"/>
      <c r="F16" s="34"/>
      <c r="G16" s="42"/>
      <c r="H16" s="42"/>
      <c r="I16" s="42"/>
      <c r="J16" s="42"/>
      <c r="K16" s="42"/>
      <c r="L16" s="42"/>
      <c r="M16" s="42"/>
      <c r="N16" s="42"/>
      <c r="O16" s="42"/>
      <c r="P16" s="34"/>
      <c r="Q16" s="34"/>
      <c r="R16" s="34"/>
      <c r="S16" s="34"/>
      <c r="T16" s="34"/>
      <c r="U16" s="34"/>
      <c r="V16" s="43"/>
      <c r="W16" s="43"/>
      <c r="X16" s="43"/>
      <c r="Y16" s="43"/>
      <c r="Z16" s="43"/>
      <c r="AA16" s="43"/>
      <c r="AB16" s="43"/>
      <c r="AC16" s="43"/>
      <c r="AD16" s="43"/>
      <c r="AE16" s="36"/>
      <c r="AF16" s="36"/>
      <c r="AG16" s="36"/>
      <c r="AH16" s="36"/>
      <c r="AI16" s="36"/>
      <c r="AJ16" s="36"/>
      <c r="AK16" s="36"/>
      <c r="AL16" s="34"/>
      <c r="AM16" s="34"/>
      <c r="AN16" s="34"/>
    </row>
    <row r="17" spans="1:42" ht="14.45" customHeight="1">
      <c r="A17" s="34"/>
      <c r="B17" s="34"/>
      <c r="C17" s="34"/>
      <c r="D17" s="34"/>
      <c r="E17" s="34"/>
      <c r="F17" s="34"/>
      <c r="G17" s="42"/>
      <c r="H17" s="42"/>
      <c r="I17" s="42"/>
      <c r="J17" s="42"/>
      <c r="K17" s="42"/>
      <c r="L17" s="42"/>
      <c r="M17" s="42"/>
      <c r="N17" s="42"/>
      <c r="O17" s="42"/>
      <c r="P17" s="34"/>
      <c r="Q17" s="34"/>
      <c r="R17" s="34"/>
      <c r="S17" s="34"/>
      <c r="T17" s="34"/>
      <c r="U17" s="34"/>
      <c r="V17" s="43"/>
      <c r="W17" s="43"/>
      <c r="X17" s="43"/>
      <c r="Y17" s="43"/>
      <c r="Z17" s="43"/>
      <c r="AA17" s="43"/>
      <c r="AB17" s="43"/>
      <c r="AC17" s="43"/>
      <c r="AD17" s="43"/>
      <c r="AE17" s="36"/>
      <c r="AF17" s="36"/>
      <c r="AG17" s="36"/>
      <c r="AH17" s="36"/>
      <c r="AI17" s="36"/>
      <c r="AJ17" s="36"/>
      <c r="AK17" s="36"/>
      <c r="AL17" s="34"/>
      <c r="AM17" s="34"/>
      <c r="AN17" s="34"/>
    </row>
    <row r="18" spans="1:42" ht="14.45" customHeight="1">
      <c r="A18" s="34"/>
      <c r="B18" s="34"/>
      <c r="C18" s="34"/>
      <c r="D18" s="34"/>
      <c r="E18" s="34"/>
      <c r="F18" s="34"/>
      <c r="G18" s="42"/>
      <c r="H18" s="42"/>
      <c r="I18" s="42"/>
      <c r="J18" s="42"/>
      <c r="K18" s="42"/>
      <c r="L18" s="42"/>
      <c r="M18" s="42"/>
      <c r="N18" s="42"/>
      <c r="O18" s="42"/>
      <c r="P18" s="34"/>
      <c r="Q18" s="34"/>
      <c r="R18" s="34"/>
      <c r="S18" s="34"/>
      <c r="T18" s="34"/>
      <c r="U18" s="34"/>
      <c r="V18" s="43"/>
      <c r="W18" s="43"/>
      <c r="X18" s="43"/>
      <c r="Y18" s="43"/>
      <c r="Z18" s="43"/>
      <c r="AA18" s="43"/>
      <c r="AB18" s="43"/>
      <c r="AC18" s="43"/>
      <c r="AD18" s="43"/>
      <c r="AE18" s="36"/>
      <c r="AF18" s="36"/>
      <c r="AG18" s="36"/>
      <c r="AH18" s="36"/>
      <c r="AI18" s="36"/>
      <c r="AJ18" s="36"/>
      <c r="AK18" s="36"/>
      <c r="AL18" s="34"/>
      <c r="AM18" s="34"/>
      <c r="AN18" s="34"/>
    </row>
    <row r="19" spans="1:42" ht="14.45" customHeight="1">
      <c r="A19" s="34"/>
      <c r="B19" s="34"/>
      <c r="C19" s="34"/>
      <c r="D19" s="34"/>
      <c r="E19" s="34"/>
      <c r="F19" s="34"/>
      <c r="G19" s="42"/>
      <c r="H19" s="42"/>
      <c r="I19" s="42"/>
      <c r="J19" s="42"/>
      <c r="K19" s="42"/>
      <c r="L19" s="42"/>
      <c r="M19" s="42"/>
      <c r="N19" s="42"/>
      <c r="O19" s="42"/>
      <c r="P19" s="34"/>
      <c r="Q19" s="34"/>
      <c r="R19" s="34"/>
      <c r="S19" s="34"/>
      <c r="T19" s="34"/>
      <c r="U19" s="34"/>
      <c r="V19" s="43"/>
      <c r="W19" s="43"/>
      <c r="X19" s="43"/>
      <c r="Y19" s="43"/>
      <c r="Z19" s="43"/>
      <c r="AA19" s="43"/>
      <c r="AB19" s="43"/>
      <c r="AC19" s="43"/>
      <c r="AD19" s="43"/>
      <c r="AE19" s="36"/>
      <c r="AF19" s="36"/>
      <c r="AG19" s="36"/>
      <c r="AH19" s="36"/>
      <c r="AI19" s="36"/>
      <c r="AJ19" s="36"/>
      <c r="AK19" s="36"/>
      <c r="AL19" s="34"/>
      <c r="AM19" s="34"/>
      <c r="AN19" s="34"/>
      <c r="AP19" s="37"/>
    </row>
    <row r="20" spans="1:42" ht="14.45" customHeight="1">
      <c r="A20" s="34"/>
      <c r="B20" s="34"/>
      <c r="C20" s="34"/>
      <c r="D20" s="34"/>
      <c r="E20" s="34"/>
      <c r="F20" s="34"/>
      <c r="G20" s="42"/>
      <c r="H20" s="42"/>
      <c r="I20" s="42"/>
      <c r="J20" s="42"/>
      <c r="K20" s="42"/>
      <c r="L20" s="42"/>
      <c r="M20" s="42"/>
      <c r="N20" s="42"/>
      <c r="O20" s="42"/>
      <c r="P20" s="34"/>
      <c r="Q20" s="34"/>
      <c r="R20" s="34"/>
      <c r="S20" s="34"/>
      <c r="T20" s="34"/>
      <c r="U20" s="34"/>
      <c r="V20" s="43"/>
      <c r="W20" s="43"/>
      <c r="X20" s="43"/>
      <c r="Y20" s="43"/>
      <c r="Z20" s="43"/>
      <c r="AA20" s="43"/>
      <c r="AB20" s="43"/>
      <c r="AC20" s="43"/>
      <c r="AD20" s="43"/>
      <c r="AE20" s="36"/>
      <c r="AF20" s="36"/>
      <c r="AG20" s="36"/>
      <c r="AH20" s="36"/>
      <c r="AI20" s="36"/>
      <c r="AJ20" s="36"/>
      <c r="AK20" s="36"/>
      <c r="AL20" s="34"/>
      <c r="AM20" s="34"/>
      <c r="AN20" s="34"/>
    </row>
    <row r="21" spans="1:42" ht="15" customHeight="1">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6"/>
      <c r="AD21" s="36"/>
      <c r="AE21" s="36"/>
      <c r="AF21" s="36"/>
      <c r="AG21" s="36"/>
      <c r="AH21" s="36"/>
      <c r="AI21" s="36"/>
      <c r="AJ21" s="36"/>
      <c r="AK21" s="36"/>
      <c r="AL21" s="34"/>
      <c r="AM21" s="34"/>
      <c r="AN21" s="34"/>
    </row>
    <row r="22" spans="1:42" ht="15" customHeight="1">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34"/>
      <c r="AA22" s="34"/>
      <c r="AB22" s="34"/>
      <c r="AC22" s="36"/>
      <c r="AD22" s="36"/>
      <c r="AE22" s="36"/>
      <c r="AF22" s="36"/>
      <c r="AG22" s="36"/>
      <c r="AH22" s="36"/>
      <c r="AI22" s="36"/>
      <c r="AJ22" s="36"/>
      <c r="AK22" s="36"/>
      <c r="AL22" s="34"/>
      <c r="AM22" s="34"/>
      <c r="AN22" s="34"/>
    </row>
    <row r="23" spans="1:42" ht="15" customHeight="1">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c r="AA23" s="34"/>
      <c r="AB23" s="34"/>
      <c r="AC23" s="36"/>
      <c r="AD23" s="36"/>
      <c r="AE23" s="36"/>
      <c r="AF23" s="36"/>
      <c r="AG23" s="36"/>
      <c r="AH23" s="36"/>
      <c r="AI23" s="36"/>
      <c r="AJ23" s="36"/>
      <c r="AK23" s="36"/>
      <c r="AL23" s="34"/>
      <c r="AM23" s="34"/>
      <c r="AN23" s="34"/>
    </row>
    <row r="24" spans="1:42" ht="15" customHeight="1">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row>
    <row r="25" spans="1:42" ht="15" customHeight="1">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row>
    <row r="26" spans="1:42" ht="15" customHeight="1">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row>
    <row r="27" spans="1:42">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row>
    <row r="28" spans="1:42">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row>
    <row r="29" spans="1:42">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row>
    <row r="30" spans="1:42">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row>
    <row r="31" spans="1:42">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row>
    <row r="32" spans="1:42">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row>
    <row r="33" spans="1:40">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row>
    <row r="34" spans="1:40">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row>
    <row r="35" spans="1:40">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row>
    <row r="36" spans="1:40">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row>
    <row r="37" spans="1:40">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row>
    <row r="38" spans="1:40">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row>
    <row r="39" spans="1:40">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row>
    <row r="40" spans="1:40">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row>
    <row r="41" spans="1:40">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row>
    <row r="42" spans="1:40">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row>
    <row r="43" spans="1:40">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row>
    <row r="44" spans="1:40">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row>
    <row r="45" spans="1:40">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row>
    <row r="46" spans="1:40">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row>
    <row r="47" spans="1:40">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row>
    <row r="48" spans="1:40">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row>
    <row r="49" spans="1:40">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row>
    <row r="50" spans="1:40">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row>
    <row r="51" spans="1:40">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row>
    <row r="52" spans="1:40">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row>
    <row r="53" spans="1:40">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row>
    <row r="54" spans="1:40">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row>
    <row r="55" spans="1:40">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row>
    <row r="56" spans="1:40">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row>
    <row r="57" spans="1:40">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row>
    <row r="58" spans="1:40">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row>
    <row r="59" spans="1:40">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row>
    <row r="60" spans="1:40">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row>
    <row r="61" spans="1:40">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row>
    <row r="62" spans="1:40">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row>
    <row r="63" spans="1:40">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row>
    <row r="64" spans="1:40">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row>
    <row r="65" spans="1:40">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row>
    <row r="66" spans="1:40">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row>
    <row r="67" spans="1:40">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row>
    <row r="68" spans="1:40">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row>
    <row r="69" spans="1:40">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row>
    <row r="70" spans="1:40">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row>
    <row r="71" spans="1:40">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row>
    <row r="72" spans="1:40">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row>
    <row r="73" spans="1:40">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row>
    <row r="74" spans="1:40">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row>
  </sheetData>
  <mergeCells count="2">
    <mergeCell ref="G10:O20"/>
    <mergeCell ref="V10:AD2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CF4E8-F177-44D1-9BC8-91E7A32E67B1}">
  <dimension ref="B2:G18"/>
  <sheetViews>
    <sheetView workbookViewId="0">
      <selection activeCell="D13" sqref="D13"/>
    </sheetView>
  </sheetViews>
  <sheetFormatPr defaultRowHeight="14.45"/>
  <sheetData>
    <row r="2" spans="2:7">
      <c r="B2" s="13" t="s">
        <v>23</v>
      </c>
      <c r="D2" s="25" t="s">
        <v>24</v>
      </c>
    </row>
    <row r="3" spans="2:7">
      <c r="B3" s="14" t="s">
        <v>25</v>
      </c>
      <c r="D3" s="26" t="s">
        <v>26</v>
      </c>
    </row>
    <row r="4" spans="2:7">
      <c r="B4" s="15" t="s">
        <v>27</v>
      </c>
    </row>
    <row r="5" spans="2:7">
      <c r="D5" s="27"/>
    </row>
    <row r="6" spans="2:7">
      <c r="B6" s="16" t="s">
        <v>28</v>
      </c>
    </row>
    <row r="7" spans="2:7">
      <c r="B7" s="17" t="s">
        <v>29</v>
      </c>
      <c r="D7" s="28"/>
    </row>
    <row r="9" spans="2:7">
      <c r="B9" s="18" t="s">
        <v>30</v>
      </c>
      <c r="D9" s="29" t="s">
        <v>31</v>
      </c>
      <c r="G9" s="35"/>
    </row>
    <row r="11" spans="2:7">
      <c r="B11" s="19" t="s">
        <v>32</v>
      </c>
      <c r="D11" s="30" t="s">
        <v>33</v>
      </c>
    </row>
    <row r="12" spans="2:7">
      <c r="B12" s="20" t="s">
        <v>34</v>
      </c>
    </row>
    <row r="13" spans="2:7">
      <c r="D13" s="31" t="s">
        <v>35</v>
      </c>
    </row>
    <row r="14" spans="2:7">
      <c r="B14" s="21" t="s">
        <v>36</v>
      </c>
    </row>
    <row r="15" spans="2:7">
      <c r="B15" s="22" t="s">
        <v>37</v>
      </c>
      <c r="D15" s="32" t="s">
        <v>38</v>
      </c>
    </row>
    <row r="17" spans="2:2">
      <c r="B17" s="23" t="s">
        <v>39</v>
      </c>
    </row>
    <row r="18" spans="2:2">
      <c r="B18" s="24" t="s">
        <v>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Aysha Sheik Abbas</cp:lastModifiedBy>
  <cp:revision/>
  <dcterms:created xsi:type="dcterms:W3CDTF">2026-02-01T11:19:50Z</dcterms:created>
  <dcterms:modified xsi:type="dcterms:W3CDTF">2026-04-01T14:32:53Z</dcterms:modified>
  <cp:category/>
  <cp:contentStatus/>
</cp:coreProperties>
</file>
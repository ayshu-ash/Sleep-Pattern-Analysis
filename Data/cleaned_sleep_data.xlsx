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https://d.docs.live.net/dc28182c3f29ea55/Data Analysts/Excel_sleep_data_project/"/>
    </mc:Choice>
  </mc:AlternateContent>
  <xr:revisionPtr revIDLastSave="0" documentId="14_{D499B2BC-9BFC-4900-9103-F63C64CDAE45}" xr6:coauthVersionLast="47" xr6:coauthVersionMax="47" xr10:uidLastSave="{00000000-0000-0000-0000-000000000000}"/>
  <bookViews>
    <workbookView xWindow="-110" yWindow="-110" windowWidth="19420" windowHeight="10300" activeTab="3" xr2:uid="{FE469973-2EE0-433A-A698-DCCB4F32D943}"/>
  </bookViews>
  <sheets>
    <sheet name="cleaned_sleep_data" sheetId="1" r:id="rId1"/>
    <sheet name="Pivot Table" sheetId="2" r:id="rId2"/>
    <sheet name="Dashboard" sheetId="3" r:id="rId3"/>
    <sheet name="Colours" sheetId="4" r:id="rId4"/>
  </sheets>
  <definedNames>
    <definedName name="Slicer_Breakfast">#N/A</definedName>
    <definedName name="Slicer_Enough_Sleep">#N/A</definedName>
    <definedName name="Slicer_Phone_Usage">#N/A</definedName>
    <definedName name="Slicer_Sleep_Group">#N/A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alcChain>
</file>

<file path=xl/sharedStrings.xml><?xml version="1.0" encoding="utf-8"?>
<sst xmlns="http://schemas.openxmlformats.org/spreadsheetml/2006/main" count="467" uniqueCount="40">
  <si>
    <t>Enough_Sleep</t>
  </si>
  <si>
    <t>Sleep_Hours</t>
  </si>
  <si>
    <t>Phone_Reach</t>
  </si>
  <si>
    <t>Phone_Usage</t>
  </si>
  <si>
    <t>Tired_Level</t>
  </si>
  <si>
    <t>Breakfast</t>
  </si>
  <si>
    <t>Sleep_Group</t>
  </si>
  <si>
    <t>Yes</t>
  </si>
  <si>
    <t>No</t>
  </si>
  <si>
    <t>6–7 hours</t>
  </si>
  <si>
    <t>Average of Sleep_Hours</t>
  </si>
  <si>
    <t>Average Sleep Hours</t>
  </si>
  <si>
    <t>Row Labels</t>
  </si>
  <si>
    <t>Grand Total</t>
  </si>
  <si>
    <t>≤5 hours</t>
  </si>
  <si>
    <t>≥8 hours</t>
  </si>
  <si>
    <t>Average of Tired_Level</t>
  </si>
  <si>
    <t>4D2FD8</t>
  </si>
  <si>
    <t>8D77F5</t>
  </si>
  <si>
    <t>C3B7F7</t>
  </si>
  <si>
    <t>FF5F00</t>
  </si>
  <si>
    <t>FF9A20</t>
  </si>
  <si>
    <t>CAC7DF</t>
  </si>
  <si>
    <t>009A96</t>
  </si>
  <si>
    <t>35D7C7</t>
  </si>
  <si>
    <t>FF0167</t>
  </si>
  <si>
    <t>FF3A89</t>
  </si>
  <si>
    <t>2B76DD</t>
  </si>
  <si>
    <t>02CDFA</t>
  </si>
  <si>
    <t>66EBBA</t>
  </si>
  <si>
    <t>0096FB</t>
  </si>
  <si>
    <t>#5B7472</t>
  </si>
  <si>
    <t>#556F56</t>
  </si>
  <si>
    <t>#605680</t>
  </si>
  <si>
    <t>#076A60</t>
  </si>
  <si>
    <t>Enough Sleep</t>
  </si>
  <si>
    <t>Sleep Hours</t>
  </si>
  <si>
    <t>Count of Enough_Sleep</t>
  </si>
  <si>
    <t>Phone Usage</t>
  </si>
  <si>
    <t>Sum of Average of Tired_Level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</si>
</sst>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D2FD8"/>
        <bgColor indexed="64"/>
      </patternFill>
    </fill>
    <fill>
      <patternFill patternType="solid">
        <fgColor rgb="FF8D77F5"/>
        <bgColor indexed="64"/>
      </patternFill>
    </fill>
    <fill>
      <patternFill patternType="solid">
        <fgColor rgb="FFC3B7F7"/>
        <bgColor indexed="64"/>
      </patternFill>
    </fill>
    <fill>
      <patternFill patternType="solid">
        <fgColor rgb="FFFF5F00"/>
        <bgColor indexed="64"/>
      </patternFill>
    </fill>
    <fill>
      <patternFill patternType="solid">
        <fgColor rgb="FFFF9A20"/>
        <bgColor indexed="64"/>
      </patternFill>
    </fill>
    <fill>
      <patternFill patternType="solid">
        <fgColor rgb="FFCAC7DF"/>
        <bgColor indexed="64"/>
      </patternFill>
    </fill>
    <fill>
      <patternFill patternType="solid">
        <fgColor rgb="FF009A96"/>
        <bgColor indexed="64"/>
      </patternFill>
    </fill>
    <fill>
      <patternFill patternType="solid">
        <fgColor rgb="FF35D7C7"/>
        <bgColor indexed="64"/>
      </patternFill>
    </fill>
    <fill>
      <patternFill patternType="solid">
        <fgColor rgb="FFFF0167"/>
        <bgColor indexed="64"/>
      </patternFill>
    </fill>
    <fill>
      <patternFill patternType="solid">
        <fgColor rgb="FFFF3A89"/>
        <bgColor indexed="64"/>
      </patternFill>
    </fill>
    <fill>
      <patternFill patternType="solid">
        <fgColor rgb="FF2B76DD"/>
        <bgColor indexed="64"/>
      </patternFill>
    </fill>
    <fill>
      <patternFill patternType="solid">
        <fgColor rgb="FF02CDFA"/>
        <bgColor indexed="64"/>
      </patternFill>
    </fill>
    <fill>
      <patternFill patternType="solid">
        <fgColor rgb="FF66EBBA"/>
        <bgColor indexed="64"/>
      </patternFill>
    </fill>
    <fill>
      <patternFill patternType="solid">
        <fgColor rgb="FF0096FB"/>
        <bgColor indexed="64"/>
      </patternFill>
    </fill>
    <fill>
      <patternFill patternType="solid">
        <fgColor theme="1"/>
        <bgColor indexed="64"/>
      </patternFill>
    </fill>
    <fill>
      <patternFill patternType="solid">
        <fgColor theme="1" tint="0.34998626667073579"/>
        <bgColor indexed="64"/>
      </patternFill>
    </fill>
    <fill>
      <patternFill patternType="solid">
        <fgColor rgb="FF5B7472"/>
        <bgColor indexed="64"/>
      </patternFill>
    </fill>
    <fill>
      <patternFill patternType="solid">
        <fgColor rgb="FF556F56"/>
        <bgColor indexed="64"/>
      </patternFill>
    </fill>
    <fill>
      <patternFill patternType="solid">
        <fgColor rgb="FF605680"/>
        <bgColor indexed="64"/>
      </patternFill>
    </fill>
    <fill>
      <patternFill patternType="solid">
        <fgColor rgb="FF076A60"/>
        <bgColor indexed="64"/>
      </patternFill>
    </fill>
    <fill>
      <patternFill patternType="solid">
        <fgColor theme="2" tint="-0.74999237037263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9" fontId="0" fillId="0" borderId="0" xfId="0" applyNumberFormat="1"/>
    <xf numFmtId="0" fontId="0" fillId="5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4" formatCode="0.000"/>
    </dxf>
    <dxf>
      <numFmt numFmtId="164" formatCode="0.000"/>
    </dxf>
    <dxf>
      <numFmt numFmtId="164" formatCode="0.000"/>
    </dxf>
    <dxf>
      <numFmt numFmtId="2" formatCode="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bottom/>
      </border>
    </dxf>
    <dxf>
      <fill>
        <gradientFill degree="90">
          <stop position="0">
            <color rgb="FF2B76DD"/>
          </stop>
          <stop position="1">
            <color theme="8" tint="0.40000610370189521"/>
          </stop>
        </gradientFill>
      </fill>
    </dxf>
    <dxf>
      <fill>
        <gradientFill degree="90">
          <stop position="0">
            <color rgb="FFCAC7DF"/>
          </stop>
          <stop position="1">
            <color rgb="FF8760DC"/>
          </stop>
        </gradientFill>
      </fill>
    </dxf>
    <dxf>
      <fill>
        <gradientFill degree="90">
          <stop position="0">
            <color rgb="FF5B7472"/>
          </stop>
          <stop position="1">
            <color rgb="FFCAC7DF"/>
          </stop>
        </gradientFill>
      </fill>
    </dxf>
    <dxf>
      <fill>
        <gradientFill degree="90">
          <stop position="0">
            <color rgb="FFAADCD7"/>
          </stop>
          <stop position="1">
            <color theme="9" tint="0.40000610370189521"/>
          </stop>
        </gradientFill>
      </fill>
    </dxf>
  </dxfs>
  <tableStyles count="5" defaultTableStyle="TableStyleMedium2" defaultPivotStyle="PivotStyleLight16">
    <tableStyle name="Slicer Style 1" pivot="0" table="0" count="0" xr9:uid="{CBEBC913-B791-40CB-9446-4C31400BBE9B}"/>
    <tableStyle name="Slicer Style 2" pivot="0" table="0" count="1" xr9:uid="{D3F4EC99-1600-44E0-8016-0833CF3F0B09}">
      <tableStyleElement type="wholeTable" dxfId="31"/>
    </tableStyle>
    <tableStyle name="Slicer Style 3" pivot="0" table="0" count="1" xr9:uid="{EDC8EF34-1AA0-464B-8ECE-389BB0CFAE45}">
      <tableStyleElement type="wholeTable" dxfId="30"/>
    </tableStyle>
    <tableStyle name="Slicer Style 4" pivot="0" table="0" count="1" xr9:uid="{34D1E8F2-56E9-4EFA-B1A5-2A03F2D74533}">
      <tableStyleElement type="wholeTable" dxfId="29"/>
    </tableStyle>
    <tableStyle name="Slicer Style 5" pivot="0" table="0" count="1" xr9:uid="{82C6D73D-3C0F-4311-AC99-5240B98DC5CA}">
      <tableStyleElement type="wholeTable" dxfId="28"/>
    </tableStyle>
  </tableStyles>
  <colors>
    <mruColors>
      <color rgb="FF5B7472"/>
      <color rgb="FF2B76DD"/>
      <color rgb="FF8760DC"/>
      <color rgb="FFCAC7DF"/>
      <color rgb="FFAADCD7"/>
      <color rgb="FF0096FB"/>
      <color rgb="FF35D7C7"/>
      <color rgb="FF8D77F5"/>
      <color rgb="FFFF3A89"/>
      <color rgb="FF4D2FD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solidFill>
                  <a:schemeClr val="accent5">
                    <a:lumMod val="75000"/>
                  </a:schemeClr>
                </a:solidFill>
              </a:rPr>
              <a:t>Sleep Hours vs Tiredness</a:t>
            </a:r>
            <a:endParaRPr lang="en-US" sz="16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cleaned_sleep_data!$F$1</c:f>
              <c:strCache>
                <c:ptCount val="1"/>
                <c:pt idx="0">
                  <c:v>Tired_Level</c:v>
                </c:pt>
              </c:strCache>
            </c:strRef>
          </c:tx>
          <c:spPr>
            <a:ln w="19050" cap="rnd">
              <a:noFill/>
              <a:round/>
            </a:ln>
            <a:effectLst/>
          </c:spPr>
          <c:marker>
            <c:symbol val="circle"/>
            <c:size val="5"/>
            <c:spPr>
              <a:solidFill>
                <a:schemeClr val="tx1"/>
              </a:solidFill>
              <a:ln w="57150">
                <a:solidFill>
                  <a:srgbClr val="0096FB">
                    <a:alpha val="74000"/>
                  </a:srgbClr>
                </a:solidFill>
              </a:ln>
              <a:effectLst/>
            </c:spPr>
          </c:marker>
          <c:xVal>
            <c:numRef>
              <c:f>cleaned_sleep_data!$C$2:$C$103</c:f>
              <c:numCache>
                <c:formatCode>General</c:formatCode>
                <c:ptCount val="102"/>
                <c:pt idx="0">
                  <c:v>8</c:v>
                </c:pt>
                <c:pt idx="1">
                  <c:v>6</c:v>
                </c:pt>
                <c:pt idx="2">
                  <c:v>6</c:v>
                </c:pt>
                <c:pt idx="3">
                  <c:v>7</c:v>
                </c:pt>
                <c:pt idx="4">
                  <c:v>7</c:v>
                </c:pt>
                <c:pt idx="5">
                  <c:v>7</c:v>
                </c:pt>
                <c:pt idx="6">
                  <c:v>7</c:v>
                </c:pt>
                <c:pt idx="7">
                  <c:v>7</c:v>
                </c:pt>
                <c:pt idx="8">
                  <c:v>4</c:v>
                </c:pt>
                <c:pt idx="9">
                  <c:v>6</c:v>
                </c:pt>
                <c:pt idx="10">
                  <c:v>10</c:v>
                </c:pt>
                <c:pt idx="11">
                  <c:v>7</c:v>
                </c:pt>
                <c:pt idx="12">
                  <c:v>7</c:v>
                </c:pt>
                <c:pt idx="13">
                  <c:v>8</c:v>
                </c:pt>
                <c:pt idx="14">
                  <c:v>7</c:v>
                </c:pt>
                <c:pt idx="15">
                  <c:v>8</c:v>
                </c:pt>
                <c:pt idx="16">
                  <c:v>6</c:v>
                </c:pt>
                <c:pt idx="17">
                  <c:v>8</c:v>
                </c:pt>
                <c:pt idx="18">
                  <c:v>9</c:v>
                </c:pt>
                <c:pt idx="19">
                  <c:v>8</c:v>
                </c:pt>
                <c:pt idx="20">
                  <c:v>2</c:v>
                </c:pt>
                <c:pt idx="21">
                  <c:v>4</c:v>
                </c:pt>
                <c:pt idx="22">
                  <c:v>5</c:v>
                </c:pt>
                <c:pt idx="23">
                  <c:v>7</c:v>
                </c:pt>
                <c:pt idx="24">
                  <c:v>5</c:v>
                </c:pt>
                <c:pt idx="25">
                  <c:v>7</c:v>
                </c:pt>
                <c:pt idx="26">
                  <c:v>6</c:v>
                </c:pt>
                <c:pt idx="27">
                  <c:v>6</c:v>
                </c:pt>
                <c:pt idx="28">
                  <c:v>7</c:v>
                </c:pt>
                <c:pt idx="29">
                  <c:v>9</c:v>
                </c:pt>
                <c:pt idx="30">
                  <c:v>8</c:v>
                </c:pt>
                <c:pt idx="31">
                  <c:v>8</c:v>
                </c:pt>
                <c:pt idx="32">
                  <c:v>6</c:v>
                </c:pt>
                <c:pt idx="33">
                  <c:v>6</c:v>
                </c:pt>
                <c:pt idx="34">
                  <c:v>7</c:v>
                </c:pt>
                <c:pt idx="35">
                  <c:v>7</c:v>
                </c:pt>
                <c:pt idx="36">
                  <c:v>7</c:v>
                </c:pt>
                <c:pt idx="37">
                  <c:v>9</c:v>
                </c:pt>
                <c:pt idx="38">
                  <c:v>5</c:v>
                </c:pt>
                <c:pt idx="39">
                  <c:v>7</c:v>
                </c:pt>
                <c:pt idx="40">
                  <c:v>8</c:v>
                </c:pt>
                <c:pt idx="41">
                  <c:v>7</c:v>
                </c:pt>
                <c:pt idx="42">
                  <c:v>5</c:v>
                </c:pt>
                <c:pt idx="43">
                  <c:v>6</c:v>
                </c:pt>
                <c:pt idx="44">
                  <c:v>4</c:v>
                </c:pt>
                <c:pt idx="45">
                  <c:v>7</c:v>
                </c:pt>
                <c:pt idx="46">
                  <c:v>9</c:v>
                </c:pt>
                <c:pt idx="47">
                  <c:v>5</c:v>
                </c:pt>
                <c:pt idx="48">
                  <c:v>6</c:v>
                </c:pt>
                <c:pt idx="49">
                  <c:v>4</c:v>
                </c:pt>
                <c:pt idx="50">
                  <c:v>5</c:v>
                </c:pt>
                <c:pt idx="51">
                  <c:v>8</c:v>
                </c:pt>
                <c:pt idx="52">
                  <c:v>7</c:v>
                </c:pt>
                <c:pt idx="53">
                  <c:v>5</c:v>
                </c:pt>
                <c:pt idx="54">
                  <c:v>7</c:v>
                </c:pt>
                <c:pt idx="55">
                  <c:v>5</c:v>
                </c:pt>
                <c:pt idx="56">
                  <c:v>6</c:v>
                </c:pt>
                <c:pt idx="57">
                  <c:v>9</c:v>
                </c:pt>
                <c:pt idx="58">
                  <c:v>9</c:v>
                </c:pt>
                <c:pt idx="59">
                  <c:v>7</c:v>
                </c:pt>
                <c:pt idx="60">
                  <c:v>6</c:v>
                </c:pt>
                <c:pt idx="61">
                  <c:v>7</c:v>
                </c:pt>
                <c:pt idx="62">
                  <c:v>2</c:v>
                </c:pt>
                <c:pt idx="63">
                  <c:v>8</c:v>
                </c:pt>
                <c:pt idx="64">
                  <c:v>7</c:v>
                </c:pt>
                <c:pt idx="65">
                  <c:v>7</c:v>
                </c:pt>
                <c:pt idx="66">
                  <c:v>7</c:v>
                </c:pt>
                <c:pt idx="67">
                  <c:v>7</c:v>
                </c:pt>
                <c:pt idx="68">
                  <c:v>6</c:v>
                </c:pt>
                <c:pt idx="69">
                  <c:v>6</c:v>
                </c:pt>
                <c:pt idx="70">
                  <c:v>5</c:v>
                </c:pt>
                <c:pt idx="71">
                  <c:v>5</c:v>
                </c:pt>
                <c:pt idx="72">
                  <c:v>6</c:v>
                </c:pt>
                <c:pt idx="73">
                  <c:v>7</c:v>
                </c:pt>
                <c:pt idx="74">
                  <c:v>6</c:v>
                </c:pt>
                <c:pt idx="75">
                  <c:v>8</c:v>
                </c:pt>
                <c:pt idx="76">
                  <c:v>6</c:v>
                </c:pt>
                <c:pt idx="77">
                  <c:v>6</c:v>
                </c:pt>
                <c:pt idx="78">
                  <c:v>7</c:v>
                </c:pt>
                <c:pt idx="79">
                  <c:v>6</c:v>
                </c:pt>
                <c:pt idx="80">
                  <c:v>6</c:v>
                </c:pt>
                <c:pt idx="81">
                  <c:v>5</c:v>
                </c:pt>
                <c:pt idx="82">
                  <c:v>8</c:v>
                </c:pt>
                <c:pt idx="83">
                  <c:v>8</c:v>
                </c:pt>
                <c:pt idx="84">
                  <c:v>6</c:v>
                </c:pt>
                <c:pt idx="85">
                  <c:v>9</c:v>
                </c:pt>
                <c:pt idx="86">
                  <c:v>5</c:v>
                </c:pt>
                <c:pt idx="87">
                  <c:v>6</c:v>
                </c:pt>
                <c:pt idx="88">
                  <c:v>8</c:v>
                </c:pt>
                <c:pt idx="89">
                  <c:v>7</c:v>
                </c:pt>
                <c:pt idx="90">
                  <c:v>7</c:v>
                </c:pt>
                <c:pt idx="91">
                  <c:v>9</c:v>
                </c:pt>
                <c:pt idx="92">
                  <c:v>8</c:v>
                </c:pt>
                <c:pt idx="93">
                  <c:v>7</c:v>
                </c:pt>
                <c:pt idx="94">
                  <c:v>7</c:v>
                </c:pt>
                <c:pt idx="95">
                  <c:v>7</c:v>
                </c:pt>
                <c:pt idx="96">
                  <c:v>6</c:v>
                </c:pt>
                <c:pt idx="97">
                  <c:v>7</c:v>
                </c:pt>
                <c:pt idx="98">
                  <c:v>7</c:v>
                </c:pt>
                <c:pt idx="99">
                  <c:v>8</c:v>
                </c:pt>
                <c:pt idx="100">
                  <c:v>7</c:v>
                </c:pt>
                <c:pt idx="101">
                  <c:v>6</c:v>
                </c:pt>
              </c:numCache>
            </c:numRef>
          </c:xVal>
          <c:yVal>
            <c:numRef>
              <c:f>cleaned_sleep_data!$F$2:$F$103</c:f>
              <c:numCache>
                <c:formatCode>General</c:formatCode>
                <c:ptCount val="102"/>
                <c:pt idx="0">
                  <c:v>3</c:v>
                </c:pt>
                <c:pt idx="1">
                  <c:v>3</c:v>
                </c:pt>
                <c:pt idx="2">
                  <c:v>2</c:v>
                </c:pt>
                <c:pt idx="3">
                  <c:v>4</c:v>
                </c:pt>
                <c:pt idx="4">
                  <c:v>2</c:v>
                </c:pt>
                <c:pt idx="5">
                  <c:v>4</c:v>
                </c:pt>
                <c:pt idx="6">
                  <c:v>3</c:v>
                </c:pt>
                <c:pt idx="7">
                  <c:v>3</c:v>
                </c:pt>
                <c:pt idx="8">
                  <c:v>2</c:v>
                </c:pt>
                <c:pt idx="9">
                  <c:v>3</c:v>
                </c:pt>
                <c:pt idx="10">
                  <c:v>4</c:v>
                </c:pt>
                <c:pt idx="11">
                  <c:v>2</c:v>
                </c:pt>
                <c:pt idx="12">
                  <c:v>3</c:v>
                </c:pt>
                <c:pt idx="13">
                  <c:v>2</c:v>
                </c:pt>
                <c:pt idx="14">
                  <c:v>3</c:v>
                </c:pt>
                <c:pt idx="15">
                  <c:v>3</c:v>
                </c:pt>
                <c:pt idx="16">
                  <c:v>4</c:v>
                </c:pt>
                <c:pt idx="17">
                  <c:v>3</c:v>
                </c:pt>
                <c:pt idx="18">
                  <c:v>3</c:v>
                </c:pt>
                <c:pt idx="19">
                  <c:v>3</c:v>
                </c:pt>
                <c:pt idx="20">
                  <c:v>5</c:v>
                </c:pt>
                <c:pt idx="21">
                  <c:v>2</c:v>
                </c:pt>
                <c:pt idx="22">
                  <c:v>3</c:v>
                </c:pt>
                <c:pt idx="23">
                  <c:v>3</c:v>
                </c:pt>
                <c:pt idx="24">
                  <c:v>2</c:v>
                </c:pt>
                <c:pt idx="25">
                  <c:v>5</c:v>
                </c:pt>
                <c:pt idx="26">
                  <c:v>3</c:v>
                </c:pt>
                <c:pt idx="27">
                  <c:v>2</c:v>
                </c:pt>
                <c:pt idx="28">
                  <c:v>2</c:v>
                </c:pt>
                <c:pt idx="29">
                  <c:v>2</c:v>
                </c:pt>
                <c:pt idx="30">
                  <c:v>2</c:v>
                </c:pt>
                <c:pt idx="31">
                  <c:v>3</c:v>
                </c:pt>
                <c:pt idx="32">
                  <c:v>4</c:v>
                </c:pt>
                <c:pt idx="33">
                  <c:v>3</c:v>
                </c:pt>
                <c:pt idx="34">
                  <c:v>3</c:v>
                </c:pt>
                <c:pt idx="35">
                  <c:v>3</c:v>
                </c:pt>
                <c:pt idx="36">
                  <c:v>2</c:v>
                </c:pt>
                <c:pt idx="37">
                  <c:v>2</c:v>
                </c:pt>
                <c:pt idx="38">
                  <c:v>5</c:v>
                </c:pt>
                <c:pt idx="39">
                  <c:v>2</c:v>
                </c:pt>
                <c:pt idx="40">
                  <c:v>1</c:v>
                </c:pt>
                <c:pt idx="41">
                  <c:v>4</c:v>
                </c:pt>
                <c:pt idx="42">
                  <c:v>3</c:v>
                </c:pt>
                <c:pt idx="43">
                  <c:v>3</c:v>
                </c:pt>
                <c:pt idx="44">
                  <c:v>5</c:v>
                </c:pt>
                <c:pt idx="45">
                  <c:v>4</c:v>
                </c:pt>
                <c:pt idx="46">
                  <c:v>1</c:v>
                </c:pt>
                <c:pt idx="47">
                  <c:v>5</c:v>
                </c:pt>
                <c:pt idx="48">
                  <c:v>3</c:v>
                </c:pt>
                <c:pt idx="49">
                  <c:v>2</c:v>
                </c:pt>
                <c:pt idx="50">
                  <c:v>3</c:v>
                </c:pt>
                <c:pt idx="51">
                  <c:v>3</c:v>
                </c:pt>
                <c:pt idx="52">
                  <c:v>4</c:v>
                </c:pt>
                <c:pt idx="53">
                  <c:v>2</c:v>
                </c:pt>
                <c:pt idx="54">
                  <c:v>3</c:v>
                </c:pt>
                <c:pt idx="55">
                  <c:v>2</c:v>
                </c:pt>
                <c:pt idx="56">
                  <c:v>3</c:v>
                </c:pt>
                <c:pt idx="57">
                  <c:v>5</c:v>
                </c:pt>
                <c:pt idx="58">
                  <c:v>4</c:v>
                </c:pt>
                <c:pt idx="59">
                  <c:v>2</c:v>
                </c:pt>
                <c:pt idx="60">
                  <c:v>3</c:v>
                </c:pt>
                <c:pt idx="61">
                  <c:v>3</c:v>
                </c:pt>
                <c:pt idx="62">
                  <c:v>5</c:v>
                </c:pt>
                <c:pt idx="63">
                  <c:v>5</c:v>
                </c:pt>
                <c:pt idx="64">
                  <c:v>4</c:v>
                </c:pt>
                <c:pt idx="65">
                  <c:v>1</c:v>
                </c:pt>
                <c:pt idx="66">
                  <c:v>3</c:v>
                </c:pt>
                <c:pt idx="67">
                  <c:v>3</c:v>
                </c:pt>
                <c:pt idx="68">
                  <c:v>3</c:v>
                </c:pt>
                <c:pt idx="69">
                  <c:v>4</c:v>
                </c:pt>
                <c:pt idx="70">
                  <c:v>4</c:v>
                </c:pt>
                <c:pt idx="71">
                  <c:v>4</c:v>
                </c:pt>
                <c:pt idx="72">
                  <c:v>5</c:v>
                </c:pt>
                <c:pt idx="73">
                  <c:v>4</c:v>
                </c:pt>
                <c:pt idx="74">
                  <c:v>4</c:v>
                </c:pt>
                <c:pt idx="75">
                  <c:v>4</c:v>
                </c:pt>
                <c:pt idx="76">
                  <c:v>4</c:v>
                </c:pt>
                <c:pt idx="77">
                  <c:v>3</c:v>
                </c:pt>
                <c:pt idx="78">
                  <c:v>4</c:v>
                </c:pt>
                <c:pt idx="79">
                  <c:v>3</c:v>
                </c:pt>
                <c:pt idx="80">
                  <c:v>3</c:v>
                </c:pt>
                <c:pt idx="81">
                  <c:v>4</c:v>
                </c:pt>
                <c:pt idx="82">
                  <c:v>2</c:v>
                </c:pt>
                <c:pt idx="83">
                  <c:v>1</c:v>
                </c:pt>
                <c:pt idx="84">
                  <c:v>3</c:v>
                </c:pt>
                <c:pt idx="85">
                  <c:v>5</c:v>
                </c:pt>
                <c:pt idx="86">
                  <c:v>4</c:v>
                </c:pt>
                <c:pt idx="87">
                  <c:v>2</c:v>
                </c:pt>
                <c:pt idx="88">
                  <c:v>3</c:v>
                </c:pt>
                <c:pt idx="89">
                  <c:v>4</c:v>
                </c:pt>
                <c:pt idx="90">
                  <c:v>2</c:v>
                </c:pt>
                <c:pt idx="91">
                  <c:v>2</c:v>
                </c:pt>
                <c:pt idx="92">
                  <c:v>4</c:v>
                </c:pt>
                <c:pt idx="93">
                  <c:v>2</c:v>
                </c:pt>
                <c:pt idx="94">
                  <c:v>4</c:v>
                </c:pt>
                <c:pt idx="95">
                  <c:v>2</c:v>
                </c:pt>
                <c:pt idx="96">
                  <c:v>3</c:v>
                </c:pt>
                <c:pt idx="97">
                  <c:v>2</c:v>
                </c:pt>
                <c:pt idx="98">
                  <c:v>3</c:v>
                </c:pt>
                <c:pt idx="99">
                  <c:v>3</c:v>
                </c:pt>
                <c:pt idx="100">
                  <c:v>2</c:v>
                </c:pt>
                <c:pt idx="101">
                  <c:v>3</c:v>
                </c:pt>
              </c:numCache>
            </c:numRef>
          </c:yVal>
          <c:smooth val="0"/>
          <c:extLst>
            <c:ext xmlns:c16="http://schemas.microsoft.com/office/drawing/2014/chart" uri="{C3380CC4-5D6E-409C-BE32-E72D297353CC}">
              <c16:uniqueId val="{00000000-81DA-4C27-B9FC-9DCC06DF2AA9}"/>
            </c:ext>
          </c:extLst>
        </c:ser>
        <c:dLbls>
          <c:showLegendKey val="0"/>
          <c:showVal val="0"/>
          <c:showCatName val="0"/>
          <c:showSerName val="0"/>
          <c:showPercent val="0"/>
          <c:showBubbleSize val="0"/>
        </c:dLbls>
        <c:axId val="213482591"/>
        <c:axId val="213483071"/>
      </c:scatterChart>
      <c:valAx>
        <c:axId val="213482591"/>
        <c:scaling>
          <c:orientation val="minMax"/>
        </c:scaling>
        <c:delete val="0"/>
        <c:axPos val="b"/>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2B76DD"/>
                </a:solidFill>
                <a:latin typeface="+mn-lt"/>
                <a:ea typeface="+mn-ea"/>
                <a:cs typeface="+mn-cs"/>
              </a:defRPr>
            </a:pPr>
            <a:endParaRPr lang="en-US"/>
          </a:p>
        </c:txPr>
        <c:crossAx val="213483071"/>
        <c:crosses val="autoZero"/>
        <c:crossBetween val="midCat"/>
      </c:valAx>
      <c:valAx>
        <c:axId val="213483071"/>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2B76DD"/>
                </a:solidFill>
                <a:latin typeface="+mn-lt"/>
                <a:ea typeface="+mn-ea"/>
                <a:cs typeface="+mn-cs"/>
              </a:defRPr>
            </a:pPr>
            <a:endParaRPr lang="en-US"/>
          </a:p>
        </c:txPr>
        <c:crossAx val="213482591"/>
        <c:crosses val="autoZero"/>
        <c:crossBetween val="midCat"/>
      </c:valAx>
      <c:spPr>
        <a:noFill/>
        <a:ln>
          <a:solidFill>
            <a:schemeClr val="tx1">
              <a:lumMod val="75000"/>
              <a:lumOff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75000"/>
          <a:lumOff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[cleaned_sleep_data.xlsx]Pivot Table!PivotTable3</c:name>
    <c:fmtId val="18"/>
  </c:pivotSource>
  <c:chart>
    <c:title>
      <c:tx>
        <c:rich>
          <a:bodyPr rot="0" spcFirstLastPara="1" vertOverflow="ellipsis" vert="horz" wrap="square" anchor="ctr" anchorCtr="1"/>
          <a:lstStyle/>
          <a:p>
            <a:pPr>
              <a:defRPr sz="1600" b="1" i="0" u="none" strike="noStrike" kern="1200" baseline="0">
                <a:solidFill>
                  <a:srgbClr val="AADCD7"/>
                </a:solidFill>
                <a:latin typeface="+mn-lt"/>
                <a:ea typeface="+mn-ea"/>
                <a:cs typeface="+mn-cs"/>
              </a:defRPr>
            </a:pPr>
            <a:r>
              <a:rPr lang="en-IN" sz="1600" b="1" i="0" u="none" strike="noStrike" baseline="0">
                <a:solidFill>
                  <a:srgbClr val="AADCD7"/>
                </a:solidFill>
              </a:rPr>
              <a:t>Sleep Group vs Average Tiredness</a:t>
            </a:r>
            <a:endParaRPr lang="en-IN">
              <a:solidFill>
                <a:srgbClr val="AADCD7"/>
              </a:solidFill>
            </a:endParaRPr>
          </a:p>
        </c:rich>
      </c:tx>
      <c:overlay val="0"/>
      <c:spPr>
        <a:noFill/>
        <a:ln>
          <a:solidFill>
            <a:schemeClr val="tx1">
              <a:lumMod val="75000"/>
              <a:lumOff val="25000"/>
            </a:schemeClr>
          </a:solidFill>
        </a:ln>
        <a:effectLst/>
      </c:spPr>
      <c:txPr>
        <a:bodyPr rot="0" spcFirstLastPara="1" vertOverflow="ellipsis" vert="horz" wrap="square" anchor="ctr" anchorCtr="1"/>
        <a:lstStyle/>
        <a:p>
          <a:pPr>
            <a:defRPr sz="1600" b="1" i="0" u="none" strike="noStrike" kern="1200" baseline="0">
              <a:solidFill>
                <a:srgbClr val="AADCD7"/>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AADCD7">
                  <a:alpha val="22000"/>
                </a:srgbClr>
              </a:gs>
              <a:gs pos="88000">
                <a:srgbClr val="AADCD7">
                  <a:alpha val="70000"/>
                  <a:lumMod val="70000"/>
                </a:srgb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AADCD7">
                  <a:alpha val="22000"/>
                </a:srgbClr>
              </a:gs>
              <a:gs pos="88000">
                <a:srgbClr val="AADCD7">
                  <a:alpha val="70000"/>
                  <a:lumMod val="70000"/>
                </a:srgbClr>
              </a:gs>
            </a:gsLst>
            <a:lin ang="5400000" scaled="1"/>
          </a:gradFill>
          <a:ln>
            <a:noFill/>
          </a:ln>
          <a:effectLst>
            <a:outerShdw blurRad="57150" dist="19050" dir="5400000" algn="ctr" rotWithShape="0">
              <a:srgbClr val="000000">
                <a:alpha val="63000"/>
              </a:srgbClr>
            </a:outerShdw>
          </a:effectLst>
        </c:spPr>
      </c:pivotFmt>
      <c:pivotFmt>
        <c:idx val="6"/>
        <c:spPr>
          <a:gradFill rotWithShape="1">
            <a:gsLst>
              <a:gs pos="0">
                <a:srgbClr val="AADCD7">
                  <a:alpha val="22000"/>
                </a:srgbClr>
              </a:gs>
              <a:gs pos="88000">
                <a:srgbClr val="AADCD7">
                  <a:alpha val="70000"/>
                  <a:lumMod val="70000"/>
                </a:srgbClr>
              </a:gs>
            </a:gsLst>
            <a:lin ang="5400000" scaled="1"/>
          </a:gradFill>
          <a:ln>
            <a:noFill/>
          </a:ln>
          <a:effectLst>
            <a:outerShdw blurRad="57150" dist="19050" dir="5400000" algn="ctr" rotWithShape="0">
              <a:srgbClr val="000000">
                <a:alpha val="63000"/>
              </a:srgbClr>
            </a:outerShdw>
          </a:effectLst>
        </c:spPr>
      </c:pivotFmt>
      <c:pivotFmt>
        <c:idx val="7"/>
        <c:spPr>
          <a:gradFill rotWithShape="1">
            <a:gsLst>
              <a:gs pos="0">
                <a:srgbClr val="AADCD7">
                  <a:alpha val="22000"/>
                </a:srgbClr>
              </a:gs>
              <a:gs pos="88000">
                <a:srgbClr val="AADCD7">
                  <a:alpha val="70000"/>
                  <a:lumMod val="70000"/>
                </a:srgbClr>
              </a:gs>
            </a:gsLst>
            <a:lin ang="5400000" scaled="1"/>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Table'!$B$11</c:f>
              <c:strCache>
                <c:ptCount val="1"/>
                <c:pt idx="0">
                  <c:v>Total</c:v>
                </c:pt>
              </c:strCache>
            </c:strRef>
          </c:tx>
          <c:spPr>
            <a:gradFill rotWithShape="1">
              <a:gsLst>
                <a:gs pos="0">
                  <a:srgbClr val="AADCD7">
                    <a:alpha val="22000"/>
                  </a:srgbClr>
                </a:gs>
                <a:gs pos="88000">
                  <a:srgbClr val="AADCD7">
                    <a:alpha val="70000"/>
                    <a:lumMod val="70000"/>
                  </a:srgbClr>
                </a:gs>
              </a:gsLst>
              <a:lin ang="5400000" scaled="1"/>
            </a:gradFill>
            <a:ln>
              <a:noFill/>
            </a:ln>
            <a:effectLst>
              <a:outerShdw blurRad="57150" dist="19050" dir="5400000" algn="ctr" rotWithShape="0">
                <a:srgbClr val="000000">
                  <a:alpha val="63000"/>
                </a:srgbClr>
              </a:outerShdw>
            </a:effectLst>
          </c:spPr>
          <c:invertIfNegative val="0"/>
          <c:cat>
            <c:strRef>
              <c:f>'Pivot Table'!$A$12:$A$15</c:f>
              <c:strCache>
                <c:ptCount val="3"/>
                <c:pt idx="0">
                  <c:v>≤5 hours</c:v>
                </c:pt>
                <c:pt idx="1">
                  <c:v>≥8 hours</c:v>
                </c:pt>
                <c:pt idx="2">
                  <c:v>6–7 hours</c:v>
                </c:pt>
              </c:strCache>
            </c:strRef>
          </c:cat>
          <c:val>
            <c:numRef>
              <c:f>'Pivot Table'!$B$12:$B$15</c:f>
              <c:numCache>
                <c:formatCode>General</c:formatCode>
                <c:ptCount val="3"/>
                <c:pt idx="0">
                  <c:v>2.8</c:v>
                </c:pt>
                <c:pt idx="1">
                  <c:v>3</c:v>
                </c:pt>
                <c:pt idx="2">
                  <c:v>3.1538461538461537</c:v>
                </c:pt>
              </c:numCache>
            </c:numRef>
          </c:val>
          <c:extLst>
            <c:ext xmlns:c16="http://schemas.microsoft.com/office/drawing/2014/chart" uri="{C3380CC4-5D6E-409C-BE32-E72D297353CC}">
              <c16:uniqueId val="{00000000-D0A2-428E-AFCF-3FF616DC1E22}"/>
            </c:ext>
          </c:extLst>
        </c:ser>
        <c:dLbls>
          <c:showLegendKey val="0"/>
          <c:showVal val="0"/>
          <c:showCatName val="0"/>
          <c:showSerName val="0"/>
          <c:showPercent val="0"/>
          <c:showBubbleSize val="0"/>
        </c:dLbls>
        <c:gapWidth val="100"/>
        <c:overlap val="-24"/>
        <c:axId val="2090568688"/>
        <c:axId val="2090552368"/>
      </c:barChart>
      <c:catAx>
        <c:axId val="2090568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ADCD7"/>
                </a:solidFill>
                <a:latin typeface="+mn-lt"/>
                <a:ea typeface="+mn-ea"/>
                <a:cs typeface="+mn-cs"/>
              </a:defRPr>
            </a:pPr>
            <a:endParaRPr lang="en-US"/>
          </a:p>
        </c:txPr>
        <c:crossAx val="2090552368"/>
        <c:crosses val="autoZero"/>
        <c:auto val="1"/>
        <c:lblAlgn val="ctr"/>
        <c:lblOffset val="100"/>
        <c:noMultiLvlLbl val="0"/>
      </c:catAx>
      <c:valAx>
        <c:axId val="2090552368"/>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AADCD7"/>
                  </a:solidFill>
                </a:ln>
                <a:solidFill>
                  <a:srgbClr val="AADCD7"/>
                </a:solidFill>
                <a:latin typeface="+mn-lt"/>
                <a:ea typeface="+mn-ea"/>
                <a:cs typeface="+mn-cs"/>
              </a:defRPr>
            </a:pPr>
            <a:endParaRPr lang="en-US"/>
          </a:p>
        </c:txPr>
        <c:crossAx val="2090568688"/>
        <c:crosses val="autoZero"/>
        <c:crossBetween val="between"/>
      </c:valAx>
      <c:spPr>
        <a:noFill/>
        <a:ln>
          <a:solidFill>
            <a:schemeClr val="tx1">
              <a:lumMod val="75000"/>
              <a:lumOff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[cleaned_sleep_data.xlsx]Pivot Table!PivotTable8</c:name>
    <c:fmtId val="5"/>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i="0" u="none" strike="noStrike" baseline="0">
                <a:solidFill>
                  <a:srgbClr val="0096FB"/>
                </a:solidFill>
              </a:rPr>
              <a:t>Enough </a:t>
            </a:r>
          </a:p>
          <a:p>
            <a:pPr>
              <a:defRPr sz="2800"/>
            </a:pPr>
            <a:r>
              <a:rPr lang="en-IN" sz="2800" b="1" i="0" u="none" strike="noStrike" baseline="0">
                <a:solidFill>
                  <a:srgbClr val="0096FB"/>
                </a:solidFill>
              </a:rPr>
              <a:t>Sleep </a:t>
            </a:r>
          </a:p>
          <a:p>
            <a:pPr>
              <a:defRPr sz="2800"/>
            </a:pPr>
            <a:r>
              <a:rPr lang="en-IN" sz="2800" b="1" i="0" u="none" strike="noStrike" baseline="0">
                <a:solidFill>
                  <a:srgbClr val="0096FB"/>
                </a:solidFill>
              </a:rPr>
              <a:t>Distribution</a:t>
            </a:r>
            <a:endParaRPr lang="en-US" sz="2800" b="1">
              <a:solidFill>
                <a:srgbClr val="0096FB"/>
              </a:solidFill>
            </a:endParaRPr>
          </a:p>
        </c:rich>
      </c:tx>
      <c:layout>
        <c:manualLayout>
          <c:xMode val="edge"/>
          <c:yMode val="edge"/>
          <c:x val="0.29174332848785711"/>
          <c:y val="0.35907521173125617"/>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a:noFill/>
          </a:ln>
          <a:effectLst/>
        </c:spPr>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9050">
            <a:no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pivotFmt>
      <c:pivotFmt>
        <c:idx val="6"/>
        <c:spPr>
          <a:gradFill>
            <a:gsLst>
              <a:gs pos="0">
                <a:srgbClr val="605680">
                  <a:lumMod val="50000"/>
                  <a:lumOff val="50000"/>
                </a:srgbClr>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96FB">
                  <a:alpha val="41000"/>
                  <a:lumMod val="88000"/>
                  <a:lumOff val="12000"/>
                </a:srgbClr>
              </a:gs>
              <a:gs pos="96000">
                <a:srgbClr val="002060">
                  <a:alpha val="74000"/>
                </a:srgbClr>
              </a:gs>
            </a:gsLst>
            <a:lin ang="5400000" scaled="1"/>
            <a:tileRect/>
          </a:gradFill>
          <a:ln w="19050">
            <a:noFill/>
          </a:ln>
          <a:effectLst/>
        </c:spPr>
        <c:dLbl>
          <c:idx val="0"/>
          <c:layout>
            <c:manualLayout>
              <c:x val="6.632255592264337E-2"/>
              <c:y val="3.613672708038465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rgbClr val="8D77F5"/>
                    </a:solidFill>
                    <a:latin typeface="+mn-lt"/>
                    <a:ea typeface="+mn-ea"/>
                    <a:cs typeface="+mn-cs"/>
                  </a:defRPr>
                </a:pPr>
                <a:fld id="{65E43757-5FFF-41F2-A44A-6DC68B069FDD}" type="CATEGORYNAME">
                  <a:rPr lang="en-US" sz="1800" b="1">
                    <a:solidFill>
                      <a:srgbClr val="0096FB"/>
                    </a:solidFill>
                  </a:rPr>
                  <a:pPr>
                    <a:defRPr sz="1000" b="1">
                      <a:solidFill>
                        <a:srgbClr val="8D77F5"/>
                      </a:solidFill>
                    </a:defRPr>
                  </a:pPr>
                  <a:t>[CATEGORY NAME]</a:t>
                </a:fld>
                <a:r>
                  <a:rPr lang="en-US" sz="1800" b="1" baseline="0">
                    <a:solidFill>
                      <a:srgbClr val="0096FB"/>
                    </a:solidFill>
                  </a:rPr>
                  <a:t>, </a:t>
                </a:r>
                <a:fld id="{0E1BC027-CF7C-4338-8524-5B2283FEC506}" type="VALUE">
                  <a:rPr lang="en-US" sz="1800" b="1" baseline="0">
                    <a:solidFill>
                      <a:srgbClr val="0096FB"/>
                    </a:solidFill>
                  </a:rPr>
                  <a:pPr>
                    <a:defRPr sz="1000" b="1">
                      <a:solidFill>
                        <a:srgbClr val="8D77F5"/>
                      </a:solidFill>
                    </a:defRPr>
                  </a:pPr>
                  <a:t>[VALUE]</a:t>
                </a:fld>
                <a:endParaRPr lang="en-US" sz="1800" b="1" baseline="0">
                  <a:solidFill>
                    <a:srgbClr val="0096FB"/>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8D77F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412190998507789"/>
                  <c:h val="4.3117271812881323E-2"/>
                </c:manualLayout>
              </c15:layout>
              <c15:dlblFieldTable/>
              <c15:showDataLabelsRange val="0"/>
            </c:ext>
          </c:extLst>
        </c:dLbl>
      </c:pivotFmt>
      <c:pivotFmt>
        <c:idx val="8"/>
        <c:spPr>
          <a:gradFill flip="none" rotWithShape="1">
            <a:gsLst>
              <a:gs pos="9000">
                <a:srgbClr val="0096FB"/>
              </a:gs>
              <a:gs pos="100000">
                <a:srgbClr val="0096FB">
                  <a:alpha val="0"/>
                  <a:lumMod val="46000"/>
                </a:srgbClr>
              </a:gs>
            </a:gsLst>
            <a:path path="circle">
              <a:fillToRect l="50000" t="50000" r="50000" b="50000"/>
            </a:path>
            <a:tileRect/>
          </a:gradFill>
          <a:ln w="19050">
            <a:noFill/>
          </a:ln>
          <a:effectLst/>
        </c:spPr>
        <c:dLbl>
          <c:idx val="0"/>
          <c:layout>
            <c:manualLayout>
              <c:x val="-3.9225848732555293E-3"/>
              <c:y val="-6.2341872985882549E-2"/>
            </c:manualLayout>
          </c:layout>
          <c:tx>
            <c:rich>
              <a:bodyPr rot="0" spcFirstLastPara="1" vertOverflow="ellipsis" vert="horz" wrap="square" lIns="38100" tIns="19050" rIns="38100" bIns="19050" anchor="ctr" anchorCtr="1">
                <a:noAutofit/>
              </a:bodyPr>
              <a:lstStyle/>
              <a:p>
                <a:pPr>
                  <a:defRPr sz="1800" b="1" i="0" u="none" strike="noStrike" kern="1200" baseline="0">
                    <a:solidFill>
                      <a:srgbClr val="2B76DD"/>
                    </a:solidFill>
                    <a:latin typeface="+mn-lt"/>
                    <a:ea typeface="+mn-ea"/>
                    <a:cs typeface="+mn-cs"/>
                  </a:defRPr>
                </a:pPr>
                <a:fld id="{BBCE9121-10F2-40F6-A12E-2D6DA4B43623}" type="CATEGORYNAME">
                  <a:rPr lang="en-US" sz="1800" b="1"/>
                  <a:pPr>
                    <a:defRPr sz="1800" b="1">
                      <a:solidFill>
                        <a:srgbClr val="2B76DD"/>
                      </a:solidFill>
                    </a:defRPr>
                  </a:pPr>
                  <a:t>[CATEGORY NAME]</a:t>
                </a:fld>
                <a:r>
                  <a:rPr lang="en-US" sz="1800" b="1" baseline="0"/>
                  <a:t>, </a:t>
                </a:r>
                <a:fld id="{738E8CD5-9CE0-4E26-8F94-91BF5DABE6EE}" type="VALUE">
                  <a:rPr lang="en-US" sz="1800" b="1" baseline="0"/>
                  <a:pPr>
                    <a:defRPr sz="1800" b="1">
                      <a:solidFill>
                        <a:srgbClr val="2B76DD"/>
                      </a:solidFill>
                    </a:defRPr>
                  </a:pPr>
                  <a:t>[VALUE]</a:t>
                </a:fld>
                <a:endParaRPr lang="en-US" sz="1800" b="1" baseline="0"/>
              </a:p>
            </c:rich>
          </c:tx>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2B76D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544976679626443"/>
                  <c:h val="5.0222390397552094E-2"/>
                </c:manualLayout>
              </c15:layout>
              <c15:dlblFieldTable/>
              <c15:showDataLabelsRange val="0"/>
            </c:ext>
          </c:extLst>
        </c:dLbl>
      </c:pivotFmt>
    </c:pivotFmts>
    <c:plotArea>
      <c:layout>
        <c:manualLayout>
          <c:layoutTarget val="inner"/>
          <c:xMode val="edge"/>
          <c:yMode val="edge"/>
          <c:x val="0.10973905788173346"/>
          <c:y val="0.19072820931322873"/>
          <c:w val="0.82054796297876531"/>
          <c:h val="0.6132985542187549"/>
        </c:manualLayout>
      </c:layout>
      <c:doughnutChart>
        <c:varyColors val="1"/>
        <c:ser>
          <c:idx val="0"/>
          <c:order val="0"/>
          <c:tx>
            <c:strRef>
              <c:f>'Pivot Table'!$E$11</c:f>
              <c:strCache>
                <c:ptCount val="1"/>
                <c:pt idx="0">
                  <c:v>Total</c:v>
                </c:pt>
              </c:strCache>
            </c:strRef>
          </c:tx>
          <c:spPr>
            <a:gradFill>
              <a:gsLst>
                <a:gs pos="0">
                  <a:srgbClr val="605680">
                    <a:lumMod val="50000"/>
                    <a:lumOff val="50000"/>
                  </a:srgbClr>
                </a:gs>
                <a:gs pos="100000">
                  <a:schemeClr val="accent1">
                    <a:lumMod val="30000"/>
                    <a:lumOff val="70000"/>
                  </a:schemeClr>
                </a:gs>
              </a:gsLst>
              <a:lin ang="5400000" scaled="1"/>
            </a:gradFill>
            <a:ln>
              <a:noFill/>
            </a:ln>
          </c:spPr>
          <c:dPt>
            <c:idx val="0"/>
            <c:bubble3D val="0"/>
            <c:spPr>
              <a:gradFill flip="none" rotWithShape="1">
                <a:gsLst>
                  <a:gs pos="0">
                    <a:srgbClr val="0096FB">
                      <a:alpha val="41000"/>
                      <a:lumMod val="88000"/>
                      <a:lumOff val="12000"/>
                    </a:srgbClr>
                  </a:gs>
                  <a:gs pos="96000">
                    <a:srgbClr val="002060">
                      <a:alpha val="74000"/>
                    </a:srgbClr>
                  </a:gs>
                </a:gsLst>
                <a:lin ang="5400000" scaled="1"/>
                <a:tileRect/>
              </a:gradFill>
              <a:ln w="19050">
                <a:noFill/>
              </a:ln>
              <a:effectLst/>
            </c:spPr>
            <c:extLst>
              <c:ext xmlns:c16="http://schemas.microsoft.com/office/drawing/2014/chart" uri="{C3380CC4-5D6E-409C-BE32-E72D297353CC}">
                <c16:uniqueId val="{00000001-A04A-4A34-A832-3AD51531AB62}"/>
              </c:ext>
            </c:extLst>
          </c:dPt>
          <c:dPt>
            <c:idx val="1"/>
            <c:bubble3D val="0"/>
            <c:spPr>
              <a:gradFill flip="none" rotWithShape="1">
                <a:gsLst>
                  <a:gs pos="9000">
                    <a:srgbClr val="0096FB"/>
                  </a:gs>
                  <a:gs pos="100000">
                    <a:srgbClr val="0096FB">
                      <a:alpha val="0"/>
                      <a:lumMod val="46000"/>
                    </a:srgbClr>
                  </a:gs>
                </a:gsLst>
                <a:path path="circle">
                  <a:fillToRect l="50000" t="50000" r="50000" b="50000"/>
                </a:path>
                <a:tileRect/>
              </a:gradFill>
              <a:ln w="19050">
                <a:noFill/>
              </a:ln>
              <a:effectLst/>
            </c:spPr>
            <c:extLst>
              <c:ext xmlns:c16="http://schemas.microsoft.com/office/drawing/2014/chart" uri="{C3380CC4-5D6E-409C-BE32-E72D297353CC}">
                <c16:uniqueId val="{00000003-A04A-4A34-A832-3AD51531AB62}"/>
              </c:ext>
            </c:extLst>
          </c:dPt>
          <c:dLbls>
            <c:dLbl>
              <c:idx val="0"/>
              <c:layout>
                <c:manualLayout>
                  <c:x val="6.632255592264337E-2"/>
                  <c:y val="3.613672708038465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rgbClr val="8D77F5"/>
                        </a:solidFill>
                        <a:latin typeface="+mn-lt"/>
                        <a:ea typeface="+mn-ea"/>
                        <a:cs typeface="+mn-cs"/>
                      </a:defRPr>
                    </a:pPr>
                    <a:fld id="{65E43757-5FFF-41F2-A44A-6DC68B069FDD}" type="CATEGORYNAME">
                      <a:rPr lang="en-US" sz="1800" b="1">
                        <a:solidFill>
                          <a:srgbClr val="0096FB"/>
                        </a:solidFill>
                      </a:rPr>
                      <a:pPr>
                        <a:defRPr sz="1000" b="1">
                          <a:solidFill>
                            <a:srgbClr val="8D77F5"/>
                          </a:solidFill>
                        </a:defRPr>
                      </a:pPr>
                      <a:t>[CATEGORY NAME]</a:t>
                    </a:fld>
                    <a:r>
                      <a:rPr lang="en-US" sz="1800" b="1" baseline="0">
                        <a:solidFill>
                          <a:srgbClr val="0096FB"/>
                        </a:solidFill>
                      </a:rPr>
                      <a:t>, </a:t>
                    </a:r>
                    <a:fld id="{0E1BC027-CF7C-4338-8524-5B2283FEC506}" type="VALUE">
                      <a:rPr lang="en-US" sz="1800" b="1" baseline="0">
                        <a:solidFill>
                          <a:srgbClr val="0096FB"/>
                        </a:solidFill>
                      </a:rPr>
                      <a:pPr>
                        <a:defRPr sz="1000" b="1">
                          <a:solidFill>
                            <a:srgbClr val="8D77F5"/>
                          </a:solidFill>
                        </a:defRPr>
                      </a:pPr>
                      <a:t>[VALUE]</a:t>
                    </a:fld>
                    <a:endParaRPr lang="en-US" sz="1800" b="1" baseline="0">
                      <a:solidFill>
                        <a:srgbClr val="0096FB"/>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8D77F5"/>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412190998507789"/>
                      <c:h val="4.3117271812881323E-2"/>
                    </c:manualLayout>
                  </c15:layout>
                  <c15:dlblFieldTable/>
                  <c15:showDataLabelsRange val="0"/>
                </c:ext>
                <c:ext xmlns:c16="http://schemas.microsoft.com/office/drawing/2014/chart" uri="{C3380CC4-5D6E-409C-BE32-E72D297353CC}">
                  <c16:uniqueId val="{00000001-A04A-4A34-A832-3AD51531AB62}"/>
                </c:ext>
              </c:extLst>
            </c:dLbl>
            <c:dLbl>
              <c:idx val="1"/>
              <c:layout>
                <c:manualLayout>
                  <c:x val="-3.9225848732555293E-3"/>
                  <c:y val="-6.2341872985882549E-2"/>
                </c:manualLayout>
              </c:layout>
              <c:tx>
                <c:rich>
                  <a:bodyPr rot="0" spcFirstLastPara="1" vertOverflow="ellipsis" vert="horz" wrap="square" lIns="38100" tIns="19050" rIns="38100" bIns="19050" anchor="ctr" anchorCtr="1">
                    <a:noAutofit/>
                  </a:bodyPr>
                  <a:lstStyle/>
                  <a:p>
                    <a:pPr>
                      <a:defRPr sz="1800" b="1" i="0" u="none" strike="noStrike" kern="1200" baseline="0">
                        <a:solidFill>
                          <a:srgbClr val="2B76DD"/>
                        </a:solidFill>
                        <a:latin typeface="+mn-lt"/>
                        <a:ea typeface="+mn-ea"/>
                        <a:cs typeface="+mn-cs"/>
                      </a:defRPr>
                    </a:pPr>
                    <a:fld id="{BBCE9121-10F2-40F6-A12E-2D6DA4B43623}" type="CATEGORYNAME">
                      <a:rPr lang="en-US" sz="1800" b="1"/>
                      <a:pPr>
                        <a:defRPr sz="1800" b="1">
                          <a:solidFill>
                            <a:srgbClr val="2B76DD"/>
                          </a:solidFill>
                        </a:defRPr>
                      </a:pPr>
                      <a:t>[CATEGORY NAME]</a:t>
                    </a:fld>
                    <a:r>
                      <a:rPr lang="en-US" sz="1800" b="1" baseline="0"/>
                      <a:t>, </a:t>
                    </a:r>
                    <a:fld id="{738E8CD5-9CE0-4E26-8F94-91BF5DABE6EE}" type="VALUE">
                      <a:rPr lang="en-US" sz="1800" b="1" baseline="0"/>
                      <a:pPr>
                        <a:defRPr sz="1800" b="1">
                          <a:solidFill>
                            <a:srgbClr val="2B76DD"/>
                          </a:solidFill>
                        </a:defRPr>
                      </a:pPr>
                      <a:t>[VALUE]</a:t>
                    </a:fld>
                    <a:endParaRPr lang="en-US" sz="1800" b="1" baseline="0"/>
                  </a:p>
                </c:rich>
              </c:tx>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2B76DD"/>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544976679626443"/>
                      <c:h val="5.0222390397552094E-2"/>
                    </c:manualLayout>
                  </c15:layout>
                  <c15:dlblFieldTable/>
                  <c15:showDataLabelsRange val="0"/>
                </c:ext>
                <c:ext xmlns:c16="http://schemas.microsoft.com/office/drawing/2014/chart" uri="{C3380CC4-5D6E-409C-BE32-E72D297353CC}">
                  <c16:uniqueId val="{00000003-A04A-4A34-A832-3AD51531AB6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Table'!$D$12:$D$14</c:f>
              <c:strCache>
                <c:ptCount val="2"/>
                <c:pt idx="0">
                  <c:v>No</c:v>
                </c:pt>
                <c:pt idx="1">
                  <c:v>Yes</c:v>
                </c:pt>
              </c:strCache>
            </c:strRef>
          </c:cat>
          <c:val>
            <c:numRef>
              <c:f>'Pivot Table'!$E$12:$E$14</c:f>
              <c:numCache>
                <c:formatCode>0%</c:formatCode>
                <c:ptCount val="2"/>
                <c:pt idx="0">
                  <c:v>0.66265060240963858</c:v>
                </c:pt>
                <c:pt idx="1">
                  <c:v>0.33734939759036142</c:v>
                </c:pt>
              </c:numCache>
            </c:numRef>
          </c:val>
          <c:extLst>
            <c:ext xmlns:c16="http://schemas.microsoft.com/office/drawing/2014/chart" uri="{C3380CC4-5D6E-409C-BE32-E72D297353CC}">
              <c16:uniqueId val="{00000004-A04A-4A34-A832-3AD51531AB62}"/>
            </c:ext>
          </c:extLst>
        </c:ser>
        <c:dLbls>
          <c:showLegendKey val="0"/>
          <c:showVal val="0"/>
          <c:showCatName val="0"/>
          <c:showSerName val="0"/>
          <c:showPercent val="0"/>
          <c:showBubbleSize val="0"/>
          <c:showLeaderLines val="1"/>
        </c:dLbls>
        <c:firstSliceAng val="3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[cleaned_sleep_data.xlsx]Pivot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8760DC"/>
                </a:solidFill>
              </a:rPr>
              <a:t>Phone Usage vs Average Tiredness</a:t>
            </a:r>
            <a:endParaRPr lang="en-US" sz="1600" b="1">
              <a:solidFill>
                <a:srgbClr val="8760D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8D77F5">
                  <a:alpha val="22000"/>
                </a:srgbClr>
              </a:gs>
              <a:gs pos="88000">
                <a:srgbClr val="8D77F5">
                  <a:alpha val="67000"/>
                  <a:lumMod val="79000"/>
                  <a:lumOff val="21000"/>
                </a:srgbClr>
              </a:gs>
            </a:gsLst>
            <a:lin ang="5400000" scaled="1"/>
          </a:gradFill>
          <a:ln>
            <a:gradFill>
              <a:gsLst>
                <a:gs pos="0">
                  <a:srgbClr val="8D77F5"/>
                </a:gs>
                <a:gs pos="100000">
                  <a:srgbClr val="8D77F5"/>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gradFill>
              <a:gsLst>
                <a:gs pos="0">
                  <a:srgbClr val="8D77F5">
                    <a:alpha val="22000"/>
                  </a:srgbClr>
                </a:gs>
                <a:gs pos="88000">
                  <a:srgbClr val="8D77F5">
                    <a:alpha val="67000"/>
                    <a:lumMod val="79000"/>
                    <a:lumOff val="21000"/>
                  </a:srgbClr>
                </a:gs>
              </a:gsLst>
              <a:lin ang="5400000" scaled="1"/>
            </a:gradFill>
            <a:ln>
              <a:gradFill>
                <a:gsLst>
                  <a:gs pos="0">
                    <a:srgbClr val="8D77F5"/>
                  </a:gs>
                  <a:gs pos="100000">
                    <a:srgbClr val="8D77F5"/>
                  </a:gs>
                </a:gsLst>
                <a:lin ang="5400000" scaled="1"/>
              </a:gradFill>
            </a:ln>
            <a:effectLst/>
          </c:spPr>
          <c:invertIfNegative val="0"/>
          <c:cat>
            <c:strRef>
              <c:f>'Pivot Table'!$D$2:$D$4</c:f>
              <c:strCache>
                <c:ptCount val="2"/>
                <c:pt idx="0">
                  <c:v>No</c:v>
                </c:pt>
                <c:pt idx="1">
                  <c:v>Yes</c:v>
                </c:pt>
              </c:strCache>
            </c:strRef>
          </c:cat>
          <c:val>
            <c:numRef>
              <c:f>'Pivot Table'!$E$2:$E$4</c:f>
              <c:numCache>
                <c:formatCode>0.000</c:formatCode>
                <c:ptCount val="2"/>
                <c:pt idx="0">
                  <c:v>3.1818181818181817</c:v>
                </c:pt>
                <c:pt idx="1">
                  <c:v>3.0327868852459017</c:v>
                </c:pt>
              </c:numCache>
            </c:numRef>
          </c:val>
          <c:extLst>
            <c:ext xmlns:c16="http://schemas.microsoft.com/office/drawing/2014/chart" uri="{C3380CC4-5D6E-409C-BE32-E72D297353CC}">
              <c16:uniqueId val="{00000000-3846-492D-8BC1-4B792873E5CA}"/>
            </c:ext>
          </c:extLst>
        </c:ser>
        <c:dLbls>
          <c:showLegendKey val="0"/>
          <c:showVal val="0"/>
          <c:showCatName val="0"/>
          <c:showSerName val="0"/>
          <c:showPercent val="0"/>
          <c:showBubbleSize val="0"/>
        </c:dLbls>
        <c:gapWidth val="219"/>
        <c:overlap val="-27"/>
        <c:axId val="1716152879"/>
        <c:axId val="1716169679"/>
      </c:barChart>
      <c:catAx>
        <c:axId val="17161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6169679"/>
        <c:crosses val="autoZero"/>
        <c:auto val="1"/>
        <c:lblAlgn val="ctr"/>
        <c:lblOffset val="100"/>
        <c:noMultiLvlLbl val="0"/>
      </c:catAx>
      <c:valAx>
        <c:axId val="1716169679"/>
        <c:scaling>
          <c:orientation val="minMax"/>
        </c:scaling>
        <c:delete val="0"/>
        <c:axPos val="l"/>
        <c:majorGridlines>
          <c:spPr>
            <a:ln w="9525" cap="flat" cmpd="sng" algn="ctr">
              <a:solidFill>
                <a:schemeClr val="tx1">
                  <a:lumMod val="75000"/>
                  <a:lumOff val="2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60DC"/>
                </a:solidFill>
                <a:latin typeface="+mn-lt"/>
                <a:ea typeface="+mn-ea"/>
                <a:cs typeface="+mn-cs"/>
              </a:defRPr>
            </a:pPr>
            <a:endParaRPr lang="en-US"/>
          </a:p>
        </c:txPr>
        <c:crossAx val="1716152879"/>
        <c:crosses val="autoZero"/>
        <c:crossBetween val="between"/>
      </c:valAx>
      <c:spPr>
        <a:noFill/>
        <a:ln>
          <a:solidFill>
            <a:schemeClr val="tx1">
              <a:lumMod val="75000"/>
              <a:lumOff val="2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[cleaned_sleep_data.xlsx]Pivot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5B7472"/>
                </a:solidFill>
              </a:rPr>
              <a:t>Breakfast vs Average Tiredness</a:t>
            </a:r>
            <a:endParaRPr lang="en-US" sz="1600" b="1">
              <a:solidFill>
                <a:srgbClr val="5B747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B7472">
                  <a:lumMod val="58000"/>
                </a:srgbClr>
              </a:gs>
              <a:gs pos="88000">
                <a:srgbClr val="5B7472">
                  <a:lumMod val="91000"/>
                  <a:alpha val="61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5B7472">
                  <a:lumMod val="58000"/>
                </a:srgbClr>
              </a:gs>
              <a:gs pos="88000">
                <a:srgbClr val="5B7472">
                  <a:lumMod val="91000"/>
                  <a:alpha val="61000"/>
                </a:srgbClr>
              </a:gs>
            </a:gsLst>
            <a:lin ang="5400000" scaled="1"/>
          </a:gradFill>
          <a:ln>
            <a:noFill/>
          </a:ln>
          <a:effectLst/>
        </c:spPr>
      </c:pivotFmt>
      <c:pivotFmt>
        <c:idx val="4"/>
        <c:spPr>
          <a:gradFill>
            <a:gsLst>
              <a:gs pos="0">
                <a:srgbClr val="5B7472">
                  <a:lumMod val="58000"/>
                </a:srgbClr>
              </a:gs>
              <a:gs pos="88000">
                <a:srgbClr val="5B7472">
                  <a:lumMod val="91000"/>
                  <a:alpha val="61000"/>
                </a:srgbClr>
              </a:gs>
            </a:gsLst>
            <a:lin ang="5400000" scaled="1"/>
          </a:gradFill>
          <a:ln>
            <a:noFill/>
          </a:ln>
          <a:effectLst/>
        </c:spPr>
      </c:pivotFmt>
    </c:pivotFmts>
    <c:plotArea>
      <c:layout/>
      <c:barChart>
        <c:barDir val="col"/>
        <c:grouping val="clustered"/>
        <c:varyColors val="0"/>
        <c:ser>
          <c:idx val="0"/>
          <c:order val="0"/>
          <c:tx>
            <c:strRef>
              <c:f>'Pivot Table'!$E$6</c:f>
              <c:strCache>
                <c:ptCount val="1"/>
                <c:pt idx="0">
                  <c:v>Total</c:v>
                </c:pt>
              </c:strCache>
            </c:strRef>
          </c:tx>
          <c:spPr>
            <a:gradFill>
              <a:gsLst>
                <a:gs pos="0">
                  <a:srgbClr val="5B7472">
                    <a:lumMod val="58000"/>
                  </a:srgbClr>
                </a:gs>
                <a:gs pos="88000">
                  <a:srgbClr val="5B7472">
                    <a:lumMod val="91000"/>
                    <a:alpha val="61000"/>
                  </a:srgbClr>
                </a:gs>
              </a:gsLst>
              <a:lin ang="5400000" scaled="1"/>
            </a:gradFill>
            <a:ln>
              <a:noFill/>
            </a:ln>
            <a:effectLst/>
          </c:spPr>
          <c:invertIfNegative val="0"/>
          <c:cat>
            <c:strRef>
              <c:f>'Pivot Table'!$D$7:$D$9</c:f>
              <c:strCache>
                <c:ptCount val="2"/>
                <c:pt idx="0">
                  <c:v>No</c:v>
                </c:pt>
                <c:pt idx="1">
                  <c:v>Yes</c:v>
                </c:pt>
              </c:strCache>
            </c:strRef>
          </c:cat>
          <c:val>
            <c:numRef>
              <c:f>'Pivot Table'!$E$7:$E$9</c:f>
              <c:numCache>
                <c:formatCode>0.00</c:formatCode>
                <c:ptCount val="2"/>
                <c:pt idx="0">
                  <c:v>3.3333333333333335</c:v>
                </c:pt>
                <c:pt idx="1">
                  <c:v>2.9</c:v>
                </c:pt>
              </c:numCache>
            </c:numRef>
          </c:val>
          <c:extLst>
            <c:ext xmlns:c16="http://schemas.microsoft.com/office/drawing/2014/chart" uri="{C3380CC4-5D6E-409C-BE32-E72D297353CC}">
              <c16:uniqueId val="{00000000-7A2B-4098-B3D2-9563B07F050A}"/>
            </c:ext>
          </c:extLst>
        </c:ser>
        <c:dLbls>
          <c:showLegendKey val="0"/>
          <c:showVal val="0"/>
          <c:showCatName val="0"/>
          <c:showSerName val="0"/>
          <c:showPercent val="0"/>
          <c:showBubbleSize val="0"/>
        </c:dLbls>
        <c:gapWidth val="219"/>
        <c:overlap val="-27"/>
        <c:axId val="213470591"/>
        <c:axId val="213478751"/>
      </c:barChart>
      <c:catAx>
        <c:axId val="2134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478751"/>
        <c:crosses val="autoZero"/>
        <c:auto val="1"/>
        <c:lblAlgn val="ctr"/>
        <c:lblOffset val="100"/>
        <c:noMultiLvlLbl val="0"/>
      </c:catAx>
      <c:valAx>
        <c:axId val="213478751"/>
        <c:scaling>
          <c:orientation val="minMax"/>
        </c:scaling>
        <c:delete val="0"/>
        <c:axPos val="l"/>
        <c:majorGridlines>
          <c:spPr>
            <a:ln w="9525" cap="flat" cmpd="sng" algn="ctr">
              <a:solidFill>
                <a:schemeClr val="tx1">
                  <a:lumMod val="75000"/>
                  <a:lumOff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B7472"/>
                </a:solidFill>
                <a:latin typeface="+mn-lt"/>
                <a:ea typeface="+mn-ea"/>
                <a:cs typeface="+mn-cs"/>
              </a:defRPr>
            </a:pPr>
            <a:endParaRPr lang="en-US"/>
          </a:p>
        </c:txPr>
        <c:crossAx val="21347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216816</xdr:colOff>
      <xdr:row>0</xdr:row>
      <xdr:rowOff>182575</xdr:rowOff>
    </xdr:from>
    <xdr:to>
      <xdr:col>26</xdr:col>
      <xdr:colOff>28222</xdr:colOff>
      <xdr:row>52</xdr:row>
      <xdr:rowOff>25508</xdr:rowOff>
    </xdr:to>
    <xdr:sp macro="" textlink="">
      <xdr:nvSpPr>
        <xdr:cNvPr id="2" name="Rectangle: Rounded Corners 1">
          <a:extLst>
            <a:ext uri="{FF2B5EF4-FFF2-40B4-BE49-F238E27FC236}">
              <a16:creationId xmlns:a16="http://schemas.microsoft.com/office/drawing/2014/main" id="{A6F463E1-EA39-26AC-F482-90F20E78CC2B}"/>
            </a:ext>
          </a:extLst>
        </xdr:cNvPr>
        <xdr:cNvSpPr/>
      </xdr:nvSpPr>
      <xdr:spPr>
        <a:xfrm>
          <a:off x="216816" y="182575"/>
          <a:ext cx="15673955" cy="9554698"/>
        </a:xfrm>
        <a:prstGeom prst="roundRect">
          <a:avLst/>
        </a:prstGeom>
        <a:gradFill>
          <a:gsLst>
            <a:gs pos="99000">
              <a:srgbClr val="445A50">
                <a:lumMod val="50000"/>
              </a:srgbClr>
            </a:gs>
            <a:gs pos="4000">
              <a:schemeClr val="tx1">
                <a:lumMod val="85000"/>
                <a:lumOff val="15000"/>
              </a:schemeClr>
            </a:gs>
          </a:gsLst>
          <a:path path="circle">
            <a:fillToRect r="100000" b="100000"/>
          </a:path>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a:bevelT w="12700" h="69850"/>
          </a:sp3d>
        </a:bodyPr>
        <a:lstStyle/>
        <a:p>
          <a:pPr algn="l"/>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26000">
                  <a:srgbClr val="6C59DD"/>
                </a:gs>
                <a:gs pos="26000">
                  <a:srgbClr val="4D2FD8"/>
                </a:gs>
                <a:gs pos="0">
                  <a:srgbClr val="4D2FD8"/>
                </a:gs>
                <a:gs pos="95000">
                  <a:schemeClr val="accent1">
                    <a:lumMod val="45000"/>
                    <a:lumOff val="55000"/>
                  </a:schemeClr>
                </a:gs>
                <a:gs pos="80000">
                  <a:schemeClr val="accent1">
                    <a:lumMod val="30000"/>
                    <a:lumOff val="70000"/>
                  </a:schemeClr>
                </a:gs>
              </a:gsLst>
              <a:lin ang="5400000" scaled="1"/>
            </a:gradFill>
          </a:endParaRPr>
        </a:p>
      </xdr:txBody>
    </xdr:sp>
    <xdr:clientData/>
  </xdr:twoCellAnchor>
  <xdr:twoCellAnchor>
    <xdr:from>
      <xdr:col>15</xdr:col>
      <xdr:colOff>435785</xdr:colOff>
      <xdr:row>17</xdr:row>
      <xdr:rowOff>123667</xdr:rowOff>
    </xdr:from>
    <xdr:to>
      <xdr:col>24</xdr:col>
      <xdr:colOff>327985</xdr:colOff>
      <xdr:row>32</xdr:row>
      <xdr:rowOff>0</xdr:rowOff>
    </xdr:to>
    <xdr:sp macro="" textlink="">
      <xdr:nvSpPr>
        <xdr:cNvPr id="11" name="Rectangle: Rounded Corners 10">
          <a:extLst>
            <a:ext uri="{FF2B5EF4-FFF2-40B4-BE49-F238E27FC236}">
              <a16:creationId xmlns:a16="http://schemas.microsoft.com/office/drawing/2014/main" id="{4B1AF52F-EDAC-4EEC-9146-9116852BC41C}"/>
            </a:ext>
          </a:extLst>
        </xdr:cNvPr>
        <xdr:cNvSpPr/>
      </xdr:nvSpPr>
      <xdr:spPr>
        <a:xfrm>
          <a:off x="9587256" y="3298667"/>
          <a:ext cx="5383082" cy="2677804"/>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181015</xdr:colOff>
      <xdr:row>18</xdr:row>
      <xdr:rowOff>0</xdr:rowOff>
    </xdr:from>
    <xdr:to>
      <xdr:col>24</xdr:col>
      <xdr:colOff>0</xdr:colOff>
      <xdr:row>30</xdr:row>
      <xdr:rowOff>130322</xdr:rowOff>
    </xdr:to>
    <xdr:graphicFrame macro="">
      <xdr:nvGraphicFramePr>
        <xdr:cNvPr id="16" name="Chart 15">
          <a:extLst>
            <a:ext uri="{FF2B5EF4-FFF2-40B4-BE49-F238E27FC236}">
              <a16:creationId xmlns:a16="http://schemas.microsoft.com/office/drawing/2014/main" id="{FE854E2F-1F54-484B-881E-E0C02C6FA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137488</xdr:colOff>
      <xdr:row>7</xdr:row>
      <xdr:rowOff>71127</xdr:rowOff>
    </xdr:from>
    <xdr:to>
      <xdr:col>11</xdr:col>
      <xdr:colOff>171090</xdr:colOff>
      <xdr:row>15</xdr:row>
      <xdr:rowOff>173905</xdr:rowOff>
    </xdr:to>
    <xdr:sp macro="" textlink="">
      <xdr:nvSpPr>
        <xdr:cNvPr id="4" name="Rectangle: Rounded Corners 3">
          <a:extLst>
            <a:ext uri="{FF2B5EF4-FFF2-40B4-BE49-F238E27FC236}">
              <a16:creationId xmlns:a16="http://schemas.microsoft.com/office/drawing/2014/main" id="{B34FF656-24B3-304F-ECA7-94096DD07015}"/>
            </a:ext>
          </a:extLst>
        </xdr:cNvPr>
        <xdr:cNvSpPr/>
      </xdr:nvSpPr>
      <xdr:spPr>
        <a:xfrm>
          <a:off x="2564599" y="1355238"/>
          <a:ext cx="4281047" cy="1570334"/>
        </a:xfrm>
        <a:prstGeom prst="roundRect">
          <a:avLst/>
        </a:prstGeom>
        <a:gradFill flip="none" rotWithShape="1">
          <a:gsLst>
            <a:gs pos="0">
              <a:srgbClr val="556F56">
                <a:shade val="30000"/>
                <a:satMod val="115000"/>
              </a:srgbClr>
            </a:gs>
            <a:gs pos="50000">
              <a:srgbClr val="556F56">
                <a:shade val="67500"/>
                <a:satMod val="115000"/>
              </a:srgbClr>
            </a:gs>
            <a:gs pos="100000">
              <a:srgbClr val="556F56">
                <a:shade val="100000"/>
                <a:satMod val="115000"/>
              </a:srgbClr>
            </a:gs>
          </a:gsLst>
          <a:path path="circle">
            <a:fillToRect r="100000" b="100000"/>
          </a:path>
          <a:tileRect l="-100000" t="-100000"/>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a:solidFill>
                <a:schemeClr val="lt1"/>
              </a:solidFill>
              <a:effectLst/>
              <a:latin typeface="+mn-lt"/>
              <a:ea typeface="+mn-ea"/>
              <a:cs typeface="+mn-cs"/>
            </a:rPr>
            <a:t>Average Sleep Hours</a:t>
          </a:r>
        </a:p>
        <a:p>
          <a:pPr algn="ctr"/>
          <a:r>
            <a:rPr lang="en-IN" sz="4000" b="0" i="0">
              <a:solidFill>
                <a:schemeClr val="lt1"/>
              </a:solidFill>
              <a:effectLst/>
              <a:latin typeface="+mn-lt"/>
              <a:ea typeface="+mn-ea"/>
              <a:cs typeface="+mn-cs"/>
            </a:rPr>
            <a:t>6.66</a:t>
          </a:r>
          <a:r>
            <a:rPr lang="en-IN" sz="4000"/>
            <a:t> hrs</a:t>
          </a:r>
          <a:endParaRPr lang="en-IN" sz="4000">
            <a:solidFill>
              <a:srgbClr val="5B7472"/>
            </a:solidFill>
          </a:endParaRPr>
        </a:p>
      </xdr:txBody>
    </xdr:sp>
    <xdr:clientData/>
  </xdr:twoCellAnchor>
  <xdr:twoCellAnchor>
    <xdr:from>
      <xdr:col>13</xdr:col>
      <xdr:colOff>445072</xdr:colOff>
      <xdr:row>7</xdr:row>
      <xdr:rowOff>72673</xdr:rowOff>
    </xdr:from>
    <xdr:to>
      <xdr:col>20</xdr:col>
      <xdr:colOff>479396</xdr:colOff>
      <xdr:row>15</xdr:row>
      <xdr:rowOff>175645</xdr:rowOff>
    </xdr:to>
    <xdr:sp macro="" textlink="">
      <xdr:nvSpPr>
        <xdr:cNvPr id="5" name="Rectangle: Rounded Corners 4">
          <a:extLst>
            <a:ext uri="{FF2B5EF4-FFF2-40B4-BE49-F238E27FC236}">
              <a16:creationId xmlns:a16="http://schemas.microsoft.com/office/drawing/2014/main" id="{0D84AFFB-5B48-4603-83A7-600BEFE80539}"/>
            </a:ext>
          </a:extLst>
        </xdr:cNvPr>
        <xdr:cNvSpPr/>
      </xdr:nvSpPr>
      <xdr:spPr>
        <a:xfrm>
          <a:off x="8333183" y="1356784"/>
          <a:ext cx="4281769" cy="1570528"/>
        </a:xfrm>
        <a:prstGeom prst="roundRect">
          <a:avLst/>
        </a:prstGeom>
        <a:gradFill flip="none" rotWithShape="1">
          <a:gsLst>
            <a:gs pos="0">
              <a:srgbClr val="605680">
                <a:shade val="30000"/>
                <a:satMod val="115000"/>
              </a:srgbClr>
            </a:gs>
            <a:gs pos="50000">
              <a:srgbClr val="605680">
                <a:shade val="67500"/>
                <a:satMod val="115000"/>
              </a:srgbClr>
            </a:gs>
            <a:gs pos="100000">
              <a:srgbClr val="605680">
                <a:shade val="100000"/>
                <a:satMod val="115000"/>
              </a:srgbClr>
            </a:gs>
          </a:gsLst>
          <a:path path="circle">
            <a:fillToRect r="100000" b="100000"/>
          </a:path>
          <a:tileRect l="-100000" t="-100000"/>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Average Tiredness Level</a:t>
          </a:r>
        </a:p>
        <a:p>
          <a:pPr algn="ctr"/>
          <a:r>
            <a:rPr lang="en-IN" sz="4000" b="0" i="0" u="none" strike="noStrike">
              <a:solidFill>
                <a:schemeClr val="lt1"/>
              </a:solidFill>
              <a:effectLst/>
              <a:latin typeface="+mn-lt"/>
              <a:ea typeface="+mn-ea"/>
              <a:cs typeface="+mn-cs"/>
            </a:rPr>
            <a:t>3.09</a:t>
          </a:r>
          <a:r>
            <a:rPr lang="en-IN" sz="2400"/>
            <a:t> </a:t>
          </a:r>
          <a:r>
            <a:rPr lang="en-IN" sz="4000"/>
            <a:t>/</a:t>
          </a:r>
          <a:r>
            <a:rPr lang="en-IN" sz="4000" baseline="0"/>
            <a:t> 5</a:t>
          </a:r>
          <a:endParaRPr lang="en-IN" sz="2400"/>
        </a:p>
      </xdr:txBody>
    </xdr:sp>
    <xdr:clientData/>
  </xdr:twoCellAnchor>
  <xdr:twoCellAnchor>
    <xdr:from>
      <xdr:col>5</xdr:col>
      <xdr:colOff>445263</xdr:colOff>
      <xdr:row>2</xdr:row>
      <xdr:rowOff>0</xdr:rowOff>
    </xdr:from>
    <xdr:to>
      <xdr:col>18</xdr:col>
      <xdr:colOff>282222</xdr:colOff>
      <xdr:row>6</xdr:row>
      <xdr:rowOff>47863</xdr:rowOff>
    </xdr:to>
    <xdr:sp macro="" textlink="">
      <xdr:nvSpPr>
        <xdr:cNvPr id="3" name="Rectangle: Rounded Corners 2">
          <a:extLst>
            <a:ext uri="{FF2B5EF4-FFF2-40B4-BE49-F238E27FC236}">
              <a16:creationId xmlns:a16="http://schemas.microsoft.com/office/drawing/2014/main" id="{C11117EF-5936-09EB-7A18-08E691C429BC}"/>
            </a:ext>
          </a:extLst>
        </xdr:cNvPr>
        <xdr:cNvSpPr/>
      </xdr:nvSpPr>
      <xdr:spPr>
        <a:xfrm>
          <a:off x="3532069" y="352778"/>
          <a:ext cx="7862653" cy="753418"/>
        </a:xfrm>
        <a:prstGeom prst="round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gradFill>
                <a:gsLst>
                  <a:gs pos="56000">
                    <a:srgbClr val="6C59DD"/>
                  </a:gs>
                  <a:gs pos="26000">
                    <a:srgbClr val="4D2FD8"/>
                  </a:gs>
                  <a:gs pos="0">
                    <a:srgbClr val="4D2FD8"/>
                  </a:gs>
                  <a:gs pos="95000">
                    <a:schemeClr val="accent1">
                      <a:lumMod val="45000"/>
                      <a:lumOff val="55000"/>
                    </a:schemeClr>
                  </a:gs>
                  <a:gs pos="80000">
                    <a:schemeClr val="accent1">
                      <a:lumMod val="30000"/>
                      <a:lumOff val="70000"/>
                    </a:schemeClr>
                  </a:gs>
                </a:gsLst>
                <a:lin ang="5400000" scaled="1"/>
              </a:gradFill>
              <a:effectLst>
                <a:outerShdw blurRad="241300" dist="292100" dir="5220000" sx="2000" sy="2000" algn="ctr" rotWithShape="0">
                  <a:srgbClr val="000000">
                    <a:alpha val="43137"/>
                  </a:srgbClr>
                </a:outerShdw>
              </a:effectLst>
            </a:rPr>
            <a:t>Sleep Pattern</a:t>
          </a:r>
          <a:r>
            <a:rPr lang="en-IN" sz="4000" b="1" baseline="0">
              <a:gradFill>
                <a:gsLst>
                  <a:gs pos="56000">
                    <a:srgbClr val="6C59DD"/>
                  </a:gs>
                  <a:gs pos="26000">
                    <a:srgbClr val="4D2FD8"/>
                  </a:gs>
                  <a:gs pos="0">
                    <a:srgbClr val="4D2FD8"/>
                  </a:gs>
                  <a:gs pos="95000">
                    <a:schemeClr val="accent1">
                      <a:lumMod val="45000"/>
                      <a:lumOff val="55000"/>
                    </a:schemeClr>
                  </a:gs>
                  <a:gs pos="80000">
                    <a:schemeClr val="accent1">
                      <a:lumMod val="30000"/>
                      <a:lumOff val="70000"/>
                    </a:schemeClr>
                  </a:gs>
                </a:gsLst>
                <a:lin ang="5400000" scaled="1"/>
              </a:gradFill>
              <a:effectLst>
                <a:outerShdw blurRad="241300" dist="292100" dir="5220000" sx="2000" sy="2000" algn="ctr" rotWithShape="0">
                  <a:srgbClr val="000000">
                    <a:alpha val="43137"/>
                  </a:srgbClr>
                </a:outerShdw>
              </a:effectLst>
            </a:rPr>
            <a:t> &amp; Lifestyle Analysis</a:t>
          </a:r>
          <a:endParaRPr lang="en-IN" sz="4000" b="1">
            <a:gradFill>
              <a:gsLst>
                <a:gs pos="56000">
                  <a:srgbClr val="6C59DD"/>
                </a:gs>
                <a:gs pos="26000">
                  <a:srgbClr val="4D2FD8"/>
                </a:gs>
                <a:gs pos="0">
                  <a:srgbClr val="4D2FD8"/>
                </a:gs>
                <a:gs pos="95000">
                  <a:schemeClr val="accent1">
                    <a:lumMod val="45000"/>
                    <a:lumOff val="55000"/>
                  </a:schemeClr>
                </a:gs>
                <a:gs pos="80000">
                  <a:schemeClr val="accent1">
                    <a:lumMod val="30000"/>
                    <a:lumOff val="70000"/>
                  </a:schemeClr>
                </a:gs>
              </a:gsLst>
              <a:lin ang="5400000" scaled="1"/>
            </a:gradFill>
            <a:effectLst>
              <a:outerShdw blurRad="241300" dist="292100" dir="5220000" sx="2000" sy="2000" algn="ctr" rotWithShape="0">
                <a:srgbClr val="000000">
                  <a:alpha val="43137"/>
                </a:srgbClr>
              </a:outerShdw>
            </a:effectLst>
          </a:endParaRPr>
        </a:p>
      </xdr:txBody>
    </xdr:sp>
    <xdr:clientData/>
  </xdr:twoCellAnchor>
  <xdr:twoCellAnchor>
    <xdr:from>
      <xdr:col>1</xdr:col>
      <xdr:colOff>0</xdr:colOff>
      <xdr:row>17</xdr:row>
      <xdr:rowOff>123667</xdr:rowOff>
    </xdr:from>
    <xdr:to>
      <xdr:col>9</xdr:col>
      <xdr:colOff>502298</xdr:colOff>
      <xdr:row>32</xdr:row>
      <xdr:rowOff>0</xdr:rowOff>
    </xdr:to>
    <xdr:sp macro="" textlink="">
      <xdr:nvSpPr>
        <xdr:cNvPr id="18" name="Rectangle: Rounded Corners 17">
          <a:extLst>
            <a:ext uri="{FF2B5EF4-FFF2-40B4-BE49-F238E27FC236}">
              <a16:creationId xmlns:a16="http://schemas.microsoft.com/office/drawing/2014/main" id="{EBCB463E-5509-49F2-AF73-06912FAC0DAC}"/>
            </a:ext>
          </a:extLst>
        </xdr:cNvPr>
        <xdr:cNvSpPr/>
      </xdr:nvSpPr>
      <xdr:spPr>
        <a:xfrm>
          <a:off x="610098" y="3298667"/>
          <a:ext cx="5383082" cy="2677804"/>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51868</xdr:colOff>
      <xdr:row>16</xdr:row>
      <xdr:rowOff>181518</xdr:rowOff>
    </xdr:from>
    <xdr:to>
      <xdr:col>9</xdr:col>
      <xdr:colOff>550333</xdr:colOff>
      <xdr:row>31</xdr:row>
      <xdr:rowOff>56444</xdr:rowOff>
    </xdr:to>
    <xdr:sp macro="" textlink="">
      <xdr:nvSpPr>
        <xdr:cNvPr id="6" name="Rectangle: Rounded Corners 5">
          <a:extLst>
            <a:ext uri="{FF2B5EF4-FFF2-40B4-BE49-F238E27FC236}">
              <a16:creationId xmlns:a16="http://schemas.microsoft.com/office/drawing/2014/main" id="{B118AD66-A7EB-F176-E64A-330740210117}"/>
            </a:ext>
          </a:extLst>
        </xdr:cNvPr>
        <xdr:cNvSpPr/>
      </xdr:nvSpPr>
      <xdr:spPr>
        <a:xfrm>
          <a:off x="658646" y="3116629"/>
          <a:ext cx="5352687" cy="26265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355828</xdr:colOff>
      <xdr:row>18</xdr:row>
      <xdr:rowOff>10297</xdr:rowOff>
    </xdr:from>
    <xdr:to>
      <xdr:col>9</xdr:col>
      <xdr:colOff>272496</xdr:colOff>
      <xdr:row>30</xdr:row>
      <xdr:rowOff>65024</xdr:rowOff>
    </xdr:to>
    <xdr:graphicFrame macro="">
      <xdr:nvGraphicFramePr>
        <xdr:cNvPr id="7" name="Chart 6">
          <a:extLst>
            <a:ext uri="{FF2B5EF4-FFF2-40B4-BE49-F238E27FC236}">
              <a16:creationId xmlns:a16="http://schemas.microsoft.com/office/drawing/2014/main" id="{4D457B23-B438-4891-8398-C40A6534C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253694</xdr:colOff>
      <xdr:row>17</xdr:row>
      <xdr:rowOff>169333</xdr:rowOff>
    </xdr:from>
    <xdr:to>
      <xdr:col>16</xdr:col>
      <xdr:colOff>14112</xdr:colOff>
      <xdr:row>47</xdr:row>
      <xdr:rowOff>28222</xdr:rowOff>
    </xdr:to>
    <xdr:graphicFrame macro="">
      <xdr:nvGraphicFramePr>
        <xdr:cNvPr id="9" name="Chart 8">
          <a:extLst>
            <a:ext uri="{FF2B5EF4-FFF2-40B4-BE49-F238E27FC236}">
              <a16:creationId xmlns:a16="http://schemas.microsoft.com/office/drawing/2014/main" id="{B76600E6-DDD0-4632-A4F5-2B4FC2755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476250</xdr:colOff>
      <xdr:row>29</xdr:row>
      <xdr:rowOff>35646</xdr:rowOff>
    </xdr:from>
    <xdr:to>
      <xdr:col>8</xdr:col>
      <xdr:colOff>293077</xdr:colOff>
      <xdr:row>31</xdr:row>
      <xdr:rowOff>29300</xdr:rowOff>
    </xdr:to>
    <mc:AlternateContent xmlns:mc="http://schemas.openxmlformats.org/markup-compatibility/2006" xmlns:a14="http://schemas.microsoft.com/office/drawing/2010/main">
      <mc:Choice Requires="a14">
        <xdr:graphicFrame macro="">
          <xdr:nvGraphicFramePr>
            <xdr:cNvPr id="17" name="Sleep_Group">
              <a:extLst>
                <a:ext uri="{FF2B5EF4-FFF2-40B4-BE49-F238E27FC236}">
                  <a16:creationId xmlns:a16="http://schemas.microsoft.com/office/drawing/2014/main" id="{E14F13EB-5DA6-4DCD-8AC9-97632AD30F5A}"/>
                </a:ext>
              </a:extLst>
            </xdr:cNvPr>
            <xdr:cNvGraphicFramePr/>
          </xdr:nvGraphicFramePr>
          <xdr:xfrm>
            <a:off x="0" y="0"/>
            <a:ext cx="0" cy="0"/>
          </xdr:xfrm>
          <a:graphic>
            <a:graphicData uri="http://schemas.microsoft.com/office/drawing/2010/slicer">
              <sle:slicer xmlns:sle="http://schemas.microsoft.com/office/drawing/2010/slicer" name="Sleep_Group"/>
            </a:graphicData>
          </a:graphic>
        </xdr:graphicFrame>
      </mc:Choice>
      <mc:Fallback xmlns="">
        <xdr:sp macro="" textlink="">
          <xdr:nvSpPr>
            <xdr:cNvPr id="0" name=""/>
            <xdr:cNvSpPr>
              <a:spLocks noTextEdit="1"/>
            </xdr:cNvSpPr>
          </xdr:nvSpPr>
          <xdr:spPr>
            <a:xfrm>
              <a:off x="1710972" y="5150924"/>
              <a:ext cx="3520994" cy="346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79937</xdr:colOff>
      <xdr:row>32</xdr:row>
      <xdr:rowOff>157567</xdr:rowOff>
    </xdr:from>
    <xdr:to>
      <xdr:col>9</xdr:col>
      <xdr:colOff>578915</xdr:colOff>
      <xdr:row>47</xdr:row>
      <xdr:rowOff>33900</xdr:rowOff>
    </xdr:to>
    <xdr:sp macro="" textlink="">
      <xdr:nvSpPr>
        <xdr:cNvPr id="12" name="Rectangle: Rounded Corners 11">
          <a:extLst>
            <a:ext uri="{FF2B5EF4-FFF2-40B4-BE49-F238E27FC236}">
              <a16:creationId xmlns:a16="http://schemas.microsoft.com/office/drawing/2014/main" id="{6EB60508-D917-4BDD-A3DA-825BF307D28E}"/>
            </a:ext>
          </a:extLst>
        </xdr:cNvPr>
        <xdr:cNvSpPr/>
      </xdr:nvSpPr>
      <xdr:spPr>
        <a:xfrm>
          <a:off x="690035" y="6134038"/>
          <a:ext cx="5379762" cy="2677803"/>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547843</xdr:colOff>
      <xdr:row>32</xdr:row>
      <xdr:rowOff>123667</xdr:rowOff>
    </xdr:from>
    <xdr:to>
      <xdr:col>24</xdr:col>
      <xdr:colOff>436722</xdr:colOff>
      <xdr:row>47</xdr:row>
      <xdr:rowOff>0</xdr:rowOff>
    </xdr:to>
    <xdr:sp macro="" textlink="">
      <xdr:nvSpPr>
        <xdr:cNvPr id="13" name="Rectangle: Rounded Corners 12">
          <a:extLst>
            <a:ext uri="{FF2B5EF4-FFF2-40B4-BE49-F238E27FC236}">
              <a16:creationId xmlns:a16="http://schemas.microsoft.com/office/drawing/2014/main" id="{1C79E821-9FC6-4F08-9283-A045934B8CB0}"/>
            </a:ext>
          </a:extLst>
        </xdr:cNvPr>
        <xdr:cNvSpPr/>
      </xdr:nvSpPr>
      <xdr:spPr>
        <a:xfrm>
          <a:off x="9699314" y="6100138"/>
          <a:ext cx="5379761" cy="2677803"/>
        </a:xfrm>
        <a:prstGeom prst="roundRect">
          <a:avLst/>
        </a:prstGeom>
        <a:gradFill>
          <a:gsLst>
            <a:gs pos="0">
              <a:schemeClr val="tx1">
                <a:lumMod val="85000"/>
                <a:lumOff val="15000"/>
              </a:schemeClr>
            </a:gs>
            <a:gs pos="88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381000</xdr:colOff>
      <xdr:row>33</xdr:row>
      <xdr:rowOff>169333</xdr:rowOff>
    </xdr:from>
    <xdr:to>
      <xdr:col>9</xdr:col>
      <xdr:colOff>296333</xdr:colOff>
      <xdr:row>46</xdr:row>
      <xdr:rowOff>0</xdr:rowOff>
    </xdr:to>
    <xdr:graphicFrame macro="">
      <xdr:nvGraphicFramePr>
        <xdr:cNvPr id="14" name="Chart 13">
          <a:extLst>
            <a:ext uri="{FF2B5EF4-FFF2-40B4-BE49-F238E27FC236}">
              <a16:creationId xmlns:a16="http://schemas.microsoft.com/office/drawing/2014/main" id="{A0A4FC5B-D68B-49FF-9848-236FE7352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338666</xdr:colOff>
      <xdr:row>34</xdr:row>
      <xdr:rowOff>0</xdr:rowOff>
    </xdr:from>
    <xdr:to>
      <xdr:col>24</xdr:col>
      <xdr:colOff>197554</xdr:colOff>
      <xdr:row>45</xdr:row>
      <xdr:rowOff>169333</xdr:rowOff>
    </xdr:to>
    <xdr:graphicFrame macro="">
      <xdr:nvGraphicFramePr>
        <xdr:cNvPr id="15" name="Chart 14">
          <a:extLst>
            <a:ext uri="{FF2B5EF4-FFF2-40B4-BE49-F238E27FC236}">
              <a16:creationId xmlns:a16="http://schemas.microsoft.com/office/drawing/2014/main" id="{0A3B04BC-27D9-462F-B1A2-882BBA239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343816</xdr:colOff>
      <xdr:row>44</xdr:row>
      <xdr:rowOff>134949</xdr:rowOff>
    </xdr:from>
    <xdr:to>
      <xdr:col>21</xdr:col>
      <xdr:colOff>586066</xdr:colOff>
      <xdr:row>46</xdr:row>
      <xdr:rowOff>113949</xdr:rowOff>
    </xdr:to>
    <mc:AlternateContent xmlns:mc="http://schemas.openxmlformats.org/markup-compatibility/2006" xmlns:a14="http://schemas.microsoft.com/office/drawing/2010/main">
      <mc:Choice Requires="a14">
        <xdr:graphicFrame macro="">
          <xdr:nvGraphicFramePr>
            <xdr:cNvPr id="19" name="Breakfast">
              <a:extLst>
                <a:ext uri="{FF2B5EF4-FFF2-40B4-BE49-F238E27FC236}">
                  <a16:creationId xmlns:a16="http://schemas.microsoft.com/office/drawing/2014/main" id="{36A80888-585B-4104-9240-25ED7FB12EBA}"/>
                </a:ext>
              </a:extLst>
            </xdr:cNvPr>
            <xdr:cNvGraphicFramePr/>
          </xdr:nvGraphicFramePr>
          <xdr:xfrm>
            <a:off x="0" y="0"/>
            <a:ext cx="0" cy="0"/>
          </xdr:xfrm>
          <a:graphic>
            <a:graphicData uri="http://schemas.microsoft.com/office/drawing/2010/slicer">
              <sle:slicer xmlns:sle="http://schemas.microsoft.com/office/drawing/2010/slicer" name="Breakfast"/>
            </a:graphicData>
          </a:graphic>
        </xdr:graphicFrame>
      </mc:Choice>
      <mc:Fallback xmlns="">
        <xdr:sp macro="" textlink="">
          <xdr:nvSpPr>
            <xdr:cNvPr id="0" name=""/>
            <xdr:cNvSpPr>
              <a:spLocks noTextEdit="1"/>
            </xdr:cNvSpPr>
          </xdr:nvSpPr>
          <xdr:spPr>
            <a:xfrm>
              <a:off x="11456316" y="7896060"/>
              <a:ext cx="2094333" cy="33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373529</xdr:colOff>
      <xdr:row>45</xdr:row>
      <xdr:rowOff>0</xdr:rowOff>
    </xdr:from>
    <xdr:to>
      <xdr:col>7</xdr:col>
      <xdr:colOff>221163</xdr:colOff>
      <xdr:row>46</xdr:row>
      <xdr:rowOff>173236</xdr:rowOff>
    </xdr:to>
    <mc:AlternateContent xmlns:mc="http://schemas.openxmlformats.org/markup-compatibility/2006" xmlns:a14="http://schemas.microsoft.com/office/drawing/2010/main">
      <mc:Choice Requires="a14">
        <xdr:graphicFrame macro="">
          <xdr:nvGraphicFramePr>
            <xdr:cNvPr id="20" name="Phone_Usage">
              <a:extLst>
                <a:ext uri="{FF2B5EF4-FFF2-40B4-BE49-F238E27FC236}">
                  <a16:creationId xmlns:a16="http://schemas.microsoft.com/office/drawing/2014/main" id="{16A78DB5-E2DB-4B36-9166-C34B20908BE5}"/>
                </a:ext>
              </a:extLst>
            </xdr:cNvPr>
            <xdr:cNvGraphicFramePr/>
          </xdr:nvGraphicFramePr>
          <xdr:xfrm>
            <a:off x="0" y="0"/>
            <a:ext cx="0" cy="0"/>
          </xdr:xfrm>
          <a:graphic>
            <a:graphicData uri="http://schemas.microsoft.com/office/drawing/2010/slicer">
              <sle:slicer xmlns:sle="http://schemas.microsoft.com/office/drawing/2010/slicer" name="Phone_Usage"/>
            </a:graphicData>
          </a:graphic>
        </xdr:graphicFrame>
      </mc:Choice>
      <mc:Fallback xmlns="">
        <xdr:sp macro="" textlink="">
          <xdr:nvSpPr>
            <xdr:cNvPr id="0" name=""/>
            <xdr:cNvSpPr>
              <a:spLocks noTextEdit="1"/>
            </xdr:cNvSpPr>
          </xdr:nvSpPr>
          <xdr:spPr>
            <a:xfrm>
              <a:off x="2225612" y="7937500"/>
              <a:ext cx="2317079" cy="34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188259</xdr:colOff>
      <xdr:row>19</xdr:row>
      <xdr:rowOff>0</xdr:rowOff>
    </xdr:from>
    <xdr:to>
      <xdr:col>14</xdr:col>
      <xdr:colOff>186765</xdr:colOff>
      <xdr:row>21</xdr:row>
      <xdr:rowOff>22470</xdr:rowOff>
    </xdr:to>
    <mc:AlternateContent xmlns:mc="http://schemas.openxmlformats.org/markup-compatibility/2006" xmlns:a14="http://schemas.microsoft.com/office/drawing/2010/main">
      <mc:Choice Requires="a14">
        <xdr:graphicFrame macro="">
          <xdr:nvGraphicFramePr>
            <xdr:cNvPr id="21" name="Enough_Sleep">
              <a:extLst>
                <a:ext uri="{FF2B5EF4-FFF2-40B4-BE49-F238E27FC236}">
                  <a16:creationId xmlns:a16="http://schemas.microsoft.com/office/drawing/2014/main" id="{2AF858BC-7646-4C08-A678-07687CDB4999}"/>
                </a:ext>
              </a:extLst>
            </xdr:cNvPr>
            <xdr:cNvGraphicFramePr/>
          </xdr:nvGraphicFramePr>
          <xdr:xfrm>
            <a:off x="0" y="0"/>
            <a:ext cx="0" cy="0"/>
          </xdr:xfrm>
          <a:graphic>
            <a:graphicData uri="http://schemas.microsoft.com/office/drawing/2010/slicer">
              <sle:slicer xmlns:sle="http://schemas.microsoft.com/office/drawing/2010/slicer" name="Enough_Sleep"/>
            </a:graphicData>
          </a:graphic>
        </xdr:graphicFrame>
      </mc:Choice>
      <mc:Fallback xmlns="">
        <xdr:sp macro="" textlink="">
          <xdr:nvSpPr>
            <xdr:cNvPr id="0" name=""/>
            <xdr:cNvSpPr>
              <a:spLocks noTextEdit="1"/>
            </xdr:cNvSpPr>
          </xdr:nvSpPr>
          <xdr:spPr>
            <a:xfrm>
              <a:off x="6979231" y="3351389"/>
              <a:ext cx="1850590" cy="375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4.705729629626" createdVersion="8" refreshedVersion="8" minRefreshableVersion="3" recordCount="102" xr:uid="{E46F2829-B276-43B7-AB5F-7902DD058B21}">
  <cacheSource type="worksheet">
    <worksheetSource name="Cleaned_Data"/>
  </cacheSource>
  <cacheFields count="7">
    <cacheField name="Enough_Sleep" numFmtId="0">
      <sharedItems count="2">
        <s v="Yes"/>
        <s v="No"/>
      </sharedItems>
    </cacheField>
    <cacheField name="Sleep_Hours" numFmtId="0">
      <sharedItems containsSemiMixedTypes="0" containsString="0" containsNumber="1" containsInteger="1" minValue="2" maxValue="10" count="8">
        <n v="8"/>
        <n v="6"/>
        <n v="7"/>
        <n v="4"/>
        <n v="10"/>
        <n v="9"/>
        <n v="2"/>
        <n v="5"/>
      </sharedItems>
    </cacheField>
    <cacheField name="Phone_Reach" numFmtId="0">
      <sharedItems count="2">
        <s v="Yes"/>
        <s v="No"/>
      </sharedItems>
    </cacheField>
    <cacheField name="Phone_Usage" numFmtId="0">
      <sharedItems count="2">
        <s v="Yes"/>
        <s v="No"/>
      </sharedItems>
    </cacheField>
    <cacheField name="Tired_Level" numFmtId="0">
      <sharedItems containsSemiMixedTypes="0" containsString="0" containsNumber="1" containsInteger="1" minValue="1" maxValue="5"/>
    </cacheField>
    <cacheField name="Breakfast" numFmtId="0">
      <sharedItems count="2">
        <s v="Yes"/>
        <s v="No"/>
      </sharedItems>
    </cacheField>
    <cacheField name="Sleep_Group" numFmtId="0">
      <sharedItems count="3">
        <s v="≥8 hours"/>
        <s v="6–7 hours"/>
        <s v="≤5 hours"/>
      </sharedItems>
    </cacheField>
  </cacheFields>
  <extLst>
    <ext xmlns:x14="http://schemas.microsoft.com/office/spreadsheetml/2009/9/main" uri="{725AE2AE-9491-48be-B2B4-4EB974FC3084}">
      <x14:pivotCacheDefinition pivotCacheId="14289037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5.785123148147" createdVersion="8" refreshedVersion="8" minRefreshableVersion="3" recordCount="3" xr:uid="{B2EA2390-61A5-48EA-A721-83EA8430EA8D}">
  <cacheSource type="worksheet">
    <worksheetSource ref="D6:E9" sheet="Pivot Table"/>
  </cacheSource>
  <cacheFields count="2">
    <cacheField name="Breakfast" numFmtId="0">
      <sharedItems count="3">
        <s v="No"/>
        <s v="Yes"/>
        <s v="Grand Total"/>
      </sharedItems>
    </cacheField>
    <cacheField name="Average of Tired_Level" numFmtId="2">
      <sharedItems containsSemiMixedTypes="0" containsString="0" containsNumber="1" minValue="2.8852459016393444" maxValue="3.3902439024390243" count="3">
        <n v="3.3902439024390243"/>
        <n v="2.8852459016393444"/>
        <n v="3.088235294117647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x v="0"/>
    <x v="0"/>
    <n v="3"/>
    <x v="0"/>
    <x v="0"/>
  </r>
  <r>
    <x v="1"/>
    <x v="1"/>
    <x v="0"/>
    <x v="0"/>
    <n v="3"/>
    <x v="1"/>
    <x v="1"/>
  </r>
  <r>
    <x v="0"/>
    <x v="1"/>
    <x v="0"/>
    <x v="0"/>
    <n v="2"/>
    <x v="0"/>
    <x v="1"/>
  </r>
  <r>
    <x v="1"/>
    <x v="2"/>
    <x v="0"/>
    <x v="0"/>
    <n v="4"/>
    <x v="1"/>
    <x v="1"/>
  </r>
  <r>
    <x v="1"/>
    <x v="2"/>
    <x v="0"/>
    <x v="0"/>
    <n v="2"/>
    <x v="0"/>
    <x v="1"/>
  </r>
  <r>
    <x v="1"/>
    <x v="2"/>
    <x v="0"/>
    <x v="0"/>
    <n v="4"/>
    <x v="1"/>
    <x v="1"/>
  </r>
  <r>
    <x v="0"/>
    <x v="2"/>
    <x v="0"/>
    <x v="0"/>
    <n v="3"/>
    <x v="0"/>
    <x v="1"/>
  </r>
  <r>
    <x v="1"/>
    <x v="2"/>
    <x v="0"/>
    <x v="0"/>
    <n v="3"/>
    <x v="0"/>
    <x v="1"/>
  </r>
  <r>
    <x v="1"/>
    <x v="3"/>
    <x v="1"/>
    <x v="0"/>
    <n v="2"/>
    <x v="0"/>
    <x v="2"/>
  </r>
  <r>
    <x v="1"/>
    <x v="1"/>
    <x v="0"/>
    <x v="0"/>
    <n v="3"/>
    <x v="0"/>
    <x v="1"/>
  </r>
  <r>
    <x v="1"/>
    <x v="4"/>
    <x v="0"/>
    <x v="0"/>
    <n v="4"/>
    <x v="1"/>
    <x v="0"/>
  </r>
  <r>
    <x v="1"/>
    <x v="2"/>
    <x v="0"/>
    <x v="0"/>
    <n v="2"/>
    <x v="0"/>
    <x v="1"/>
  </r>
  <r>
    <x v="0"/>
    <x v="2"/>
    <x v="0"/>
    <x v="0"/>
    <n v="3"/>
    <x v="1"/>
    <x v="1"/>
  </r>
  <r>
    <x v="0"/>
    <x v="0"/>
    <x v="0"/>
    <x v="0"/>
    <n v="2"/>
    <x v="1"/>
    <x v="0"/>
  </r>
  <r>
    <x v="0"/>
    <x v="2"/>
    <x v="1"/>
    <x v="0"/>
    <n v="3"/>
    <x v="0"/>
    <x v="1"/>
  </r>
  <r>
    <x v="0"/>
    <x v="0"/>
    <x v="0"/>
    <x v="0"/>
    <n v="3"/>
    <x v="1"/>
    <x v="0"/>
  </r>
  <r>
    <x v="0"/>
    <x v="1"/>
    <x v="0"/>
    <x v="0"/>
    <n v="4"/>
    <x v="0"/>
    <x v="1"/>
  </r>
  <r>
    <x v="0"/>
    <x v="0"/>
    <x v="0"/>
    <x v="0"/>
    <n v="3"/>
    <x v="0"/>
    <x v="0"/>
  </r>
  <r>
    <x v="1"/>
    <x v="5"/>
    <x v="0"/>
    <x v="0"/>
    <n v="3"/>
    <x v="0"/>
    <x v="0"/>
  </r>
  <r>
    <x v="0"/>
    <x v="0"/>
    <x v="0"/>
    <x v="0"/>
    <n v="3"/>
    <x v="1"/>
    <x v="0"/>
  </r>
  <r>
    <x v="1"/>
    <x v="6"/>
    <x v="0"/>
    <x v="0"/>
    <n v="5"/>
    <x v="1"/>
    <x v="2"/>
  </r>
  <r>
    <x v="1"/>
    <x v="3"/>
    <x v="0"/>
    <x v="0"/>
    <n v="2"/>
    <x v="0"/>
    <x v="2"/>
  </r>
  <r>
    <x v="1"/>
    <x v="7"/>
    <x v="0"/>
    <x v="1"/>
    <n v="3"/>
    <x v="0"/>
    <x v="2"/>
  </r>
  <r>
    <x v="1"/>
    <x v="2"/>
    <x v="0"/>
    <x v="1"/>
    <n v="3"/>
    <x v="0"/>
    <x v="1"/>
  </r>
  <r>
    <x v="1"/>
    <x v="7"/>
    <x v="0"/>
    <x v="0"/>
    <n v="2"/>
    <x v="1"/>
    <x v="2"/>
  </r>
  <r>
    <x v="1"/>
    <x v="2"/>
    <x v="1"/>
    <x v="0"/>
    <n v="5"/>
    <x v="1"/>
    <x v="1"/>
  </r>
  <r>
    <x v="1"/>
    <x v="1"/>
    <x v="0"/>
    <x v="0"/>
    <n v="3"/>
    <x v="1"/>
    <x v="1"/>
  </r>
  <r>
    <x v="1"/>
    <x v="1"/>
    <x v="0"/>
    <x v="0"/>
    <n v="2"/>
    <x v="1"/>
    <x v="1"/>
  </r>
  <r>
    <x v="0"/>
    <x v="2"/>
    <x v="0"/>
    <x v="1"/>
    <n v="2"/>
    <x v="0"/>
    <x v="1"/>
  </r>
  <r>
    <x v="0"/>
    <x v="5"/>
    <x v="1"/>
    <x v="1"/>
    <n v="2"/>
    <x v="0"/>
    <x v="0"/>
  </r>
  <r>
    <x v="0"/>
    <x v="0"/>
    <x v="0"/>
    <x v="0"/>
    <n v="2"/>
    <x v="0"/>
    <x v="0"/>
  </r>
  <r>
    <x v="1"/>
    <x v="0"/>
    <x v="1"/>
    <x v="0"/>
    <n v="3"/>
    <x v="0"/>
    <x v="0"/>
  </r>
  <r>
    <x v="1"/>
    <x v="1"/>
    <x v="0"/>
    <x v="0"/>
    <n v="4"/>
    <x v="1"/>
    <x v="1"/>
  </r>
  <r>
    <x v="1"/>
    <x v="1"/>
    <x v="1"/>
    <x v="1"/>
    <n v="3"/>
    <x v="1"/>
    <x v="1"/>
  </r>
  <r>
    <x v="1"/>
    <x v="2"/>
    <x v="1"/>
    <x v="0"/>
    <n v="3"/>
    <x v="0"/>
    <x v="1"/>
  </r>
  <r>
    <x v="1"/>
    <x v="2"/>
    <x v="0"/>
    <x v="0"/>
    <n v="3"/>
    <x v="0"/>
    <x v="1"/>
  </r>
  <r>
    <x v="0"/>
    <x v="2"/>
    <x v="1"/>
    <x v="1"/>
    <n v="2"/>
    <x v="0"/>
    <x v="1"/>
  </r>
  <r>
    <x v="0"/>
    <x v="5"/>
    <x v="1"/>
    <x v="0"/>
    <n v="2"/>
    <x v="0"/>
    <x v="0"/>
  </r>
  <r>
    <x v="1"/>
    <x v="7"/>
    <x v="0"/>
    <x v="1"/>
    <n v="5"/>
    <x v="1"/>
    <x v="2"/>
  </r>
  <r>
    <x v="1"/>
    <x v="2"/>
    <x v="0"/>
    <x v="0"/>
    <n v="2"/>
    <x v="1"/>
    <x v="1"/>
  </r>
  <r>
    <x v="0"/>
    <x v="0"/>
    <x v="1"/>
    <x v="0"/>
    <n v="1"/>
    <x v="0"/>
    <x v="0"/>
  </r>
  <r>
    <x v="1"/>
    <x v="2"/>
    <x v="1"/>
    <x v="0"/>
    <n v="4"/>
    <x v="0"/>
    <x v="1"/>
  </r>
  <r>
    <x v="1"/>
    <x v="7"/>
    <x v="0"/>
    <x v="0"/>
    <n v="3"/>
    <x v="1"/>
    <x v="2"/>
  </r>
  <r>
    <x v="1"/>
    <x v="1"/>
    <x v="0"/>
    <x v="0"/>
    <n v="3"/>
    <x v="0"/>
    <x v="1"/>
  </r>
  <r>
    <x v="1"/>
    <x v="3"/>
    <x v="1"/>
    <x v="1"/>
    <n v="5"/>
    <x v="1"/>
    <x v="2"/>
  </r>
  <r>
    <x v="1"/>
    <x v="2"/>
    <x v="0"/>
    <x v="0"/>
    <n v="4"/>
    <x v="1"/>
    <x v="1"/>
  </r>
  <r>
    <x v="0"/>
    <x v="5"/>
    <x v="0"/>
    <x v="0"/>
    <n v="1"/>
    <x v="0"/>
    <x v="0"/>
  </r>
  <r>
    <x v="1"/>
    <x v="7"/>
    <x v="1"/>
    <x v="1"/>
    <n v="5"/>
    <x v="0"/>
    <x v="2"/>
  </r>
  <r>
    <x v="1"/>
    <x v="1"/>
    <x v="1"/>
    <x v="0"/>
    <n v="3"/>
    <x v="0"/>
    <x v="1"/>
  </r>
  <r>
    <x v="1"/>
    <x v="3"/>
    <x v="0"/>
    <x v="0"/>
    <n v="2"/>
    <x v="0"/>
    <x v="2"/>
  </r>
  <r>
    <x v="1"/>
    <x v="7"/>
    <x v="0"/>
    <x v="1"/>
    <n v="3"/>
    <x v="1"/>
    <x v="2"/>
  </r>
  <r>
    <x v="1"/>
    <x v="0"/>
    <x v="0"/>
    <x v="0"/>
    <n v="3"/>
    <x v="0"/>
    <x v="0"/>
  </r>
  <r>
    <x v="1"/>
    <x v="2"/>
    <x v="1"/>
    <x v="0"/>
    <n v="4"/>
    <x v="0"/>
    <x v="1"/>
  </r>
  <r>
    <x v="1"/>
    <x v="7"/>
    <x v="0"/>
    <x v="0"/>
    <n v="2"/>
    <x v="1"/>
    <x v="2"/>
  </r>
  <r>
    <x v="1"/>
    <x v="2"/>
    <x v="0"/>
    <x v="0"/>
    <n v="3"/>
    <x v="0"/>
    <x v="1"/>
  </r>
  <r>
    <x v="1"/>
    <x v="7"/>
    <x v="1"/>
    <x v="0"/>
    <n v="2"/>
    <x v="0"/>
    <x v="2"/>
  </r>
  <r>
    <x v="1"/>
    <x v="1"/>
    <x v="0"/>
    <x v="0"/>
    <n v="3"/>
    <x v="1"/>
    <x v="1"/>
  </r>
  <r>
    <x v="1"/>
    <x v="5"/>
    <x v="1"/>
    <x v="0"/>
    <n v="5"/>
    <x v="1"/>
    <x v="0"/>
  </r>
  <r>
    <x v="1"/>
    <x v="5"/>
    <x v="0"/>
    <x v="1"/>
    <n v="4"/>
    <x v="0"/>
    <x v="0"/>
  </r>
  <r>
    <x v="0"/>
    <x v="2"/>
    <x v="0"/>
    <x v="0"/>
    <n v="2"/>
    <x v="1"/>
    <x v="1"/>
  </r>
  <r>
    <x v="1"/>
    <x v="1"/>
    <x v="0"/>
    <x v="0"/>
    <n v="3"/>
    <x v="1"/>
    <x v="1"/>
  </r>
  <r>
    <x v="1"/>
    <x v="2"/>
    <x v="0"/>
    <x v="0"/>
    <n v="3"/>
    <x v="0"/>
    <x v="1"/>
  </r>
  <r>
    <x v="1"/>
    <x v="6"/>
    <x v="1"/>
    <x v="1"/>
    <n v="5"/>
    <x v="1"/>
    <x v="2"/>
  </r>
  <r>
    <x v="1"/>
    <x v="0"/>
    <x v="0"/>
    <x v="0"/>
    <n v="5"/>
    <x v="1"/>
    <x v="0"/>
  </r>
  <r>
    <x v="1"/>
    <x v="2"/>
    <x v="0"/>
    <x v="0"/>
    <n v="4"/>
    <x v="0"/>
    <x v="1"/>
  </r>
  <r>
    <x v="0"/>
    <x v="2"/>
    <x v="0"/>
    <x v="1"/>
    <n v="1"/>
    <x v="1"/>
    <x v="1"/>
  </r>
  <r>
    <x v="1"/>
    <x v="2"/>
    <x v="0"/>
    <x v="0"/>
    <n v="3"/>
    <x v="0"/>
    <x v="1"/>
  </r>
  <r>
    <x v="0"/>
    <x v="2"/>
    <x v="0"/>
    <x v="1"/>
    <n v="3"/>
    <x v="1"/>
    <x v="1"/>
  </r>
  <r>
    <x v="1"/>
    <x v="1"/>
    <x v="0"/>
    <x v="0"/>
    <n v="3"/>
    <x v="0"/>
    <x v="1"/>
  </r>
  <r>
    <x v="0"/>
    <x v="1"/>
    <x v="1"/>
    <x v="0"/>
    <n v="4"/>
    <x v="0"/>
    <x v="1"/>
  </r>
  <r>
    <x v="1"/>
    <x v="7"/>
    <x v="0"/>
    <x v="0"/>
    <n v="4"/>
    <x v="0"/>
    <x v="2"/>
  </r>
  <r>
    <x v="1"/>
    <x v="7"/>
    <x v="0"/>
    <x v="0"/>
    <n v="4"/>
    <x v="1"/>
    <x v="2"/>
  </r>
  <r>
    <x v="1"/>
    <x v="1"/>
    <x v="1"/>
    <x v="0"/>
    <n v="5"/>
    <x v="0"/>
    <x v="1"/>
  </r>
  <r>
    <x v="0"/>
    <x v="2"/>
    <x v="0"/>
    <x v="0"/>
    <n v="4"/>
    <x v="0"/>
    <x v="1"/>
  </r>
  <r>
    <x v="1"/>
    <x v="1"/>
    <x v="1"/>
    <x v="0"/>
    <n v="4"/>
    <x v="1"/>
    <x v="1"/>
  </r>
  <r>
    <x v="1"/>
    <x v="0"/>
    <x v="0"/>
    <x v="0"/>
    <n v="4"/>
    <x v="0"/>
    <x v="0"/>
  </r>
  <r>
    <x v="0"/>
    <x v="1"/>
    <x v="0"/>
    <x v="0"/>
    <n v="4"/>
    <x v="1"/>
    <x v="1"/>
  </r>
  <r>
    <x v="1"/>
    <x v="1"/>
    <x v="0"/>
    <x v="0"/>
    <n v="3"/>
    <x v="0"/>
    <x v="1"/>
  </r>
  <r>
    <x v="1"/>
    <x v="2"/>
    <x v="0"/>
    <x v="0"/>
    <n v="4"/>
    <x v="1"/>
    <x v="1"/>
  </r>
  <r>
    <x v="0"/>
    <x v="1"/>
    <x v="0"/>
    <x v="0"/>
    <n v="3"/>
    <x v="1"/>
    <x v="1"/>
  </r>
  <r>
    <x v="1"/>
    <x v="1"/>
    <x v="0"/>
    <x v="0"/>
    <n v="3"/>
    <x v="1"/>
    <x v="1"/>
  </r>
  <r>
    <x v="1"/>
    <x v="7"/>
    <x v="1"/>
    <x v="1"/>
    <n v="4"/>
    <x v="1"/>
    <x v="2"/>
  </r>
  <r>
    <x v="0"/>
    <x v="0"/>
    <x v="1"/>
    <x v="1"/>
    <n v="2"/>
    <x v="0"/>
    <x v="0"/>
  </r>
  <r>
    <x v="0"/>
    <x v="0"/>
    <x v="1"/>
    <x v="0"/>
    <n v="1"/>
    <x v="0"/>
    <x v="0"/>
  </r>
  <r>
    <x v="1"/>
    <x v="1"/>
    <x v="0"/>
    <x v="0"/>
    <n v="3"/>
    <x v="1"/>
    <x v="1"/>
  </r>
  <r>
    <x v="1"/>
    <x v="5"/>
    <x v="1"/>
    <x v="0"/>
    <n v="5"/>
    <x v="0"/>
    <x v="0"/>
  </r>
  <r>
    <x v="1"/>
    <x v="7"/>
    <x v="0"/>
    <x v="1"/>
    <n v="4"/>
    <x v="0"/>
    <x v="2"/>
  </r>
  <r>
    <x v="1"/>
    <x v="1"/>
    <x v="0"/>
    <x v="1"/>
    <n v="2"/>
    <x v="0"/>
    <x v="1"/>
  </r>
  <r>
    <x v="0"/>
    <x v="0"/>
    <x v="1"/>
    <x v="0"/>
    <n v="3"/>
    <x v="0"/>
    <x v="0"/>
  </r>
  <r>
    <x v="1"/>
    <x v="2"/>
    <x v="1"/>
    <x v="0"/>
    <n v="4"/>
    <x v="0"/>
    <x v="1"/>
  </r>
  <r>
    <x v="0"/>
    <x v="2"/>
    <x v="1"/>
    <x v="0"/>
    <n v="2"/>
    <x v="0"/>
    <x v="1"/>
  </r>
  <r>
    <x v="0"/>
    <x v="5"/>
    <x v="1"/>
    <x v="1"/>
    <n v="2"/>
    <x v="0"/>
    <x v="0"/>
  </r>
  <r>
    <x v="0"/>
    <x v="0"/>
    <x v="0"/>
    <x v="0"/>
    <n v="4"/>
    <x v="1"/>
    <x v="0"/>
  </r>
  <r>
    <x v="0"/>
    <x v="2"/>
    <x v="1"/>
    <x v="0"/>
    <n v="2"/>
    <x v="0"/>
    <x v="1"/>
  </r>
  <r>
    <x v="1"/>
    <x v="2"/>
    <x v="0"/>
    <x v="0"/>
    <n v="4"/>
    <x v="0"/>
    <x v="1"/>
  </r>
  <r>
    <x v="0"/>
    <x v="2"/>
    <x v="0"/>
    <x v="0"/>
    <n v="2"/>
    <x v="1"/>
    <x v="1"/>
  </r>
  <r>
    <x v="1"/>
    <x v="1"/>
    <x v="0"/>
    <x v="0"/>
    <n v="3"/>
    <x v="1"/>
    <x v="1"/>
  </r>
  <r>
    <x v="1"/>
    <x v="2"/>
    <x v="0"/>
    <x v="0"/>
    <n v="2"/>
    <x v="0"/>
    <x v="1"/>
  </r>
  <r>
    <x v="1"/>
    <x v="2"/>
    <x v="1"/>
    <x v="0"/>
    <n v="3"/>
    <x v="0"/>
    <x v="1"/>
  </r>
  <r>
    <x v="0"/>
    <x v="0"/>
    <x v="0"/>
    <x v="0"/>
    <n v="3"/>
    <x v="0"/>
    <x v="0"/>
  </r>
  <r>
    <x v="0"/>
    <x v="2"/>
    <x v="0"/>
    <x v="0"/>
    <n v="2"/>
    <x v="0"/>
    <x v="1"/>
  </r>
  <r>
    <x v="0"/>
    <x v="1"/>
    <x v="0"/>
    <x v="0"/>
    <n v="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55D9E-0FF6-437B-BB0B-4C65BAD6FAE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0:M14" firstHeaderRow="1" firstDataRow="1" firstDataCol="1"/>
  <pivotFields count="2">
    <pivotField axis="axisRow" showAll="0">
      <items count="4">
        <item x="2"/>
        <item x="0"/>
        <item x="1"/>
        <item t="default"/>
      </items>
    </pivotField>
    <pivotField dataField="1" numFmtId="2" showAll="0">
      <items count="4">
        <item x="1"/>
        <item x="2"/>
        <item x="0"/>
        <item t="default"/>
      </items>
    </pivotField>
  </pivotFields>
  <rowFields count="1">
    <field x="0"/>
  </rowFields>
  <rowItems count="4">
    <i>
      <x/>
    </i>
    <i>
      <x v="1"/>
    </i>
    <i>
      <x v="2"/>
    </i>
    <i t="grand">
      <x/>
    </i>
  </rowItems>
  <colItems count="1">
    <i/>
  </colItems>
  <dataFields count="1">
    <dataField name="Sum of Average of Tired_Level" fld="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8A42B1-A7E8-4BEF-AB73-5B56EB0B3A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hone Usage">
  <location ref="D1:E4" firstHeaderRow="1" firstDataRow="1" firstDataCol="1"/>
  <pivotFields count="7">
    <pivotField showAll="0">
      <items count="3">
        <item x="1"/>
        <item x="0"/>
        <item t="default"/>
      </items>
    </pivotField>
    <pivotField showAll="0"/>
    <pivotField axis="axisRow" showAll="0">
      <items count="3">
        <item x="1"/>
        <item x="0"/>
        <item t="default"/>
      </items>
    </pivotField>
    <pivotField showAll="0">
      <items count="3">
        <item h="1" x="1"/>
        <item x="0"/>
        <item t="default"/>
      </items>
    </pivotField>
    <pivotField dataField="1" showAll="0"/>
    <pivotField showAll="0">
      <items count="3">
        <item x="1"/>
        <item x="0"/>
        <item t="default"/>
      </items>
    </pivotField>
    <pivotField showAll="0">
      <items count="4">
        <item x="2"/>
        <item x="0"/>
        <item x="1"/>
        <item t="default"/>
      </items>
    </pivotField>
  </pivotFields>
  <rowFields count="1">
    <field x="2"/>
  </rowFields>
  <rowItems count="3">
    <i>
      <x/>
    </i>
    <i>
      <x v="1"/>
    </i>
    <i t="grand">
      <x/>
    </i>
  </rowItems>
  <colItems count="1">
    <i/>
  </colItems>
  <dataFields count="1">
    <dataField name="Average of Tired_Level" fld="4" subtotal="average" baseField="2" baseItem="0"/>
  </dataFields>
  <formats count="3">
    <format dxfId="2">
      <pivotArea collapsedLevelsAreSubtotals="1" fieldPosition="0">
        <references count="1">
          <reference field="2" count="1">
            <x v="0"/>
          </reference>
        </references>
      </pivotArea>
    </format>
    <format dxfId="1">
      <pivotArea collapsedLevelsAreSubtotals="1" fieldPosition="0">
        <references count="1">
          <reference field="2" count="1">
            <x v="1"/>
          </reference>
        </references>
      </pivotArea>
    </format>
    <format dxfId="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BF7AD6-5500-4143-8408-E161139C87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7">
    <pivotField showAll="0">
      <items count="3">
        <item x="1"/>
        <item x="0"/>
        <item t="default"/>
      </items>
    </pivotField>
    <pivotField showAll="0"/>
    <pivotField showAll="0"/>
    <pivotField showAll="0">
      <items count="3">
        <item h="1" x="1"/>
        <item x="0"/>
        <item t="default"/>
      </items>
    </pivotField>
    <pivotField dataField="1" showAll="0"/>
    <pivotField showAll="0">
      <items count="3">
        <item x="1"/>
        <item x="0"/>
        <item t="default"/>
      </items>
    </pivotField>
    <pivotField showAll="0">
      <items count="4">
        <item x="2"/>
        <item x="0"/>
        <item x="1"/>
        <item t="default"/>
      </items>
    </pivotField>
  </pivotFields>
  <rowItems count="1">
    <i/>
  </rowItems>
  <colItems count="1">
    <i/>
  </colItems>
  <dataFields count="1">
    <dataField name="Average of Tired_Level" fld="4"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FF8276-5B04-4EE5-ACBA-B476C4C182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1:E14" firstHeaderRow="1" firstDataRow="1" firstDataCol="1"/>
  <pivotFields count="7">
    <pivotField axis="axisRow" dataField="1" showAll="0">
      <items count="3">
        <item x="1"/>
        <item x="0"/>
        <item t="default"/>
      </items>
    </pivotField>
    <pivotField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Fields count="1">
    <field x="0"/>
  </rowFields>
  <rowItems count="3">
    <i>
      <x/>
    </i>
    <i>
      <x v="1"/>
    </i>
    <i t="grand">
      <x/>
    </i>
  </rowItems>
  <colItems count="1">
    <i/>
  </colItems>
  <dataFields count="1">
    <dataField name="Count of Enough_Sleep" fld="0" subtotal="count" showDataAs="percentOfTotal" baseField="0" baseItem="0" numFmtId="9"/>
  </dataFields>
  <formats count="3">
    <format dxfId="6">
      <pivotArea outline="0" collapsedLevelsAreSubtotals="1" fieldPosition="0"/>
    </format>
    <format dxfId="5">
      <pivotArea dataOnly="0" labelOnly="1" outline="0" axis="axisValues" fieldPosition="0"/>
    </format>
    <format dxfId="4">
      <pivotArea collapsedLevelsAreSubtotals="1" fieldPosition="0">
        <references count="1">
          <reference field="0"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66938-752B-462C-8E8A-53F4FDFC97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ough Sleep">
  <location ref="A5:B8" firstHeaderRow="1" firstDataRow="1" firstDataCol="1"/>
  <pivotFields count="7">
    <pivotField axis="axisRow" showAll="0">
      <items count="3">
        <item x="1"/>
        <item x="0"/>
        <item t="default"/>
      </items>
    </pivotField>
    <pivotField dataField="1"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Fields count="1">
    <field x="0"/>
  </rowFields>
  <rowItems count="3">
    <i>
      <x/>
    </i>
    <i>
      <x v="1"/>
    </i>
    <i t="grand">
      <x/>
    </i>
  </rowItems>
  <colItems count="1">
    <i/>
  </colItems>
  <dataFields count="1">
    <dataField name="Average of Sleep_Hours" fld="1" subtotal="average" baseField="0" baseItem="0"/>
  </dataFields>
  <formats count="2">
    <format dxfId="8">
      <pivotArea collapsedLevelsAreSubtotals="1" fieldPosition="0">
        <references count="1">
          <reference field="0" count="1">
            <x v="0"/>
          </reference>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208CE2-13FD-4872-B56C-080CF8CBB8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7">
    <pivotField showAll="0">
      <items count="3">
        <item x="1"/>
        <item x="0"/>
        <item t="default"/>
      </items>
    </pivotField>
    <pivotField dataField="1" showAll="0"/>
    <pivotField showAll="0"/>
    <pivotField showAll="0">
      <items count="3">
        <item h="1" x="1"/>
        <item x="0"/>
        <item t="default"/>
      </items>
    </pivotField>
    <pivotField showAll="0"/>
    <pivotField showAll="0">
      <items count="3">
        <item x="1"/>
        <item x="0"/>
        <item t="default"/>
      </items>
    </pivotField>
    <pivotField showAll="0">
      <items count="4">
        <item x="2"/>
        <item x="0"/>
        <item x="1"/>
        <item t="default"/>
      </items>
    </pivotField>
  </pivotFields>
  <rowItems count="1">
    <i/>
  </rowItems>
  <colItems count="1">
    <i/>
  </colItems>
  <dataFields count="1">
    <dataField name="Average Sleep Hours" fld="1"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F1A207-05C2-4A04-ADAF-5A92AD9BEB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eakfast">
  <location ref="D6:E9" firstHeaderRow="1" firstDataRow="1" firstDataCol="1"/>
  <pivotFields count="7">
    <pivotField showAll="0">
      <items count="3">
        <item x="1"/>
        <item x="0"/>
        <item t="default"/>
      </items>
    </pivotField>
    <pivotField showAll="0"/>
    <pivotField showAll="0"/>
    <pivotField showAll="0">
      <items count="3">
        <item h="1" x="1"/>
        <item x="0"/>
        <item t="default"/>
      </items>
    </pivotField>
    <pivotField dataField="1" showAll="0"/>
    <pivotField axis="axisRow" showAll="0">
      <items count="3">
        <item x="1"/>
        <item x="0"/>
        <item t="default"/>
      </items>
    </pivotField>
    <pivotField showAll="0">
      <items count="4">
        <item x="2"/>
        <item x="0"/>
        <item x="1"/>
        <item t="default"/>
      </items>
    </pivotField>
  </pivotFields>
  <rowFields count="1">
    <field x="5"/>
  </rowFields>
  <rowItems count="3">
    <i>
      <x/>
    </i>
    <i>
      <x v="1"/>
    </i>
    <i t="grand">
      <x/>
    </i>
  </rowItems>
  <colItems count="1">
    <i/>
  </colItems>
  <dataFields count="1">
    <dataField name="Average of Tired_Level" fld="4" subtotal="average" baseField="5" baseItem="0"/>
  </dataFields>
  <formats count="3">
    <format dxfId="12">
      <pivotArea collapsedLevelsAreSubtotals="1" fieldPosition="0">
        <references count="1">
          <reference field="5" count="1">
            <x v="0"/>
          </reference>
        </references>
      </pivotArea>
    </format>
    <format dxfId="11">
      <pivotArea collapsedLevelsAreSubtotals="1" fieldPosition="0">
        <references count="1">
          <reference field="5" count="1">
            <x v="1"/>
          </reference>
        </references>
      </pivotArea>
    </format>
    <format dxfId="10">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833B61-3F69-4580-BB86-EA8F512961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leep Hours">
  <location ref="A11:B15" firstHeaderRow="1" firstDataRow="1" firstDataCol="1"/>
  <pivotFields count="7">
    <pivotField showAll="0">
      <items count="3">
        <item x="1"/>
        <item x="0"/>
        <item t="default"/>
      </items>
    </pivotField>
    <pivotField showAll="0">
      <items count="9">
        <item x="6"/>
        <item x="3"/>
        <item x="7"/>
        <item x="1"/>
        <item x="2"/>
        <item x="0"/>
        <item x="5"/>
        <item x="4"/>
        <item t="default"/>
      </items>
    </pivotField>
    <pivotField showAll="0"/>
    <pivotField showAll="0">
      <items count="3">
        <item h="1" x="1"/>
        <item x="0"/>
        <item t="default"/>
      </items>
    </pivotField>
    <pivotField dataField="1" showAll="0"/>
    <pivotField showAll="0">
      <items count="3">
        <item x="1"/>
        <item x="0"/>
        <item t="default"/>
      </items>
    </pivotField>
    <pivotField axis="axisRow" showAll="0">
      <items count="4">
        <item x="2"/>
        <item x="0"/>
        <item x="1"/>
        <item t="default"/>
      </items>
    </pivotField>
  </pivotFields>
  <rowFields count="1">
    <field x="6"/>
  </rowFields>
  <rowItems count="4">
    <i>
      <x/>
    </i>
    <i>
      <x v="1"/>
    </i>
    <i>
      <x v="2"/>
    </i>
    <i t="grand">
      <x/>
    </i>
  </rowItems>
  <colItems count="1">
    <i/>
  </colItems>
  <dataFields count="1">
    <dataField name="Average of Tired_Level" fld="4" subtotal="average" baseField="6" baseItem="0"/>
  </dataFields>
  <formats count="3">
    <format dxfId="15">
      <pivotArea grandRow="1" outline="0" collapsedLevelsAreSubtotals="1" fieldPosition="0"/>
    </format>
    <format dxfId="14">
      <pivotArea collapsedLevelsAreSubtotals="1" fieldPosition="0">
        <references count="1">
          <reference field="6" count="1">
            <x v="0"/>
          </reference>
        </references>
      </pivotArea>
    </format>
    <format dxfId="13">
      <pivotArea collapsedLevelsAreSubtotals="1" fieldPosition="0">
        <references count="1">
          <reference field="6" count="1">
            <x v="2"/>
          </reference>
        </references>
      </pivotArea>
    </format>
  </formats>
  <chartFormats count="4">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6" count="1" selected="0">
            <x v="0"/>
          </reference>
        </references>
      </pivotArea>
    </chartFormat>
    <chartFormat chart="18" format="6">
      <pivotArea type="data" outline="0" fieldPosition="0">
        <references count="2">
          <reference field="4294967294" count="1" selected="0">
            <x v="0"/>
          </reference>
          <reference field="6" count="1" selected="0">
            <x v="1"/>
          </reference>
        </references>
      </pivotArea>
    </chartFormat>
    <chartFormat chart="18"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Group" xr10:uid="{B8C7E77C-0B36-4EBE-BE39-19BD121A15B6}" sourceName="Sleep_Group">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kfast" xr10:uid="{39BAA18B-598D-47BA-86CE-7F6E11E45276}" sourceName="Breakfast">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Usage" xr10:uid="{48934EA7-2D28-49EA-90A7-EF1AA70C9465}" sourceName="Phone_Usage">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ough_Sleep" xr10:uid="{C83DA78A-711D-4EE0-8797-3907CDF3A168}" sourceName="Enough_Sleep">
  <pivotTables>
    <pivotTable tabId="2" name="PivotTable4"/>
    <pivotTable tabId="2" name="PivotTable1"/>
    <pivotTable tabId="2" name="PivotTable2"/>
    <pivotTable tabId="2" name="PivotTable3"/>
    <pivotTable tabId="2" name="PivotTable5"/>
    <pivotTable tabId="2" name="PivotTable6"/>
    <pivotTable tabId="2" name="PivotTable8"/>
  </pivotTables>
  <data>
    <tabular pivotCacheId="14289037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eep_Group" xr10:uid="{36B1278C-EA7B-4F3A-BC3C-52194685C20D}" cache="Slicer_Sleep_Group" caption="Sleep_Group" columnCount="3" showCaption="0" style="Slicer Style 2" rowHeight="216000"/>
  <slicer name="Breakfast" xr10:uid="{54316BBF-D054-48A4-8B40-9186B6ED2A72}" cache="Slicer_Breakfast" caption="Breakfast" columnCount="2" showCaption="0" style="Slicer Style 3" rowHeight="241300"/>
  <slicer name="Phone_Usage" xr10:uid="{862A0C03-3FF5-4D00-9ADF-B9425057B57F}" cache="Slicer_Phone_Usage" caption="Phone_Usage" columnCount="2" showCaption="0" style="Slicer Style 4" rowHeight="241300"/>
  <slicer name="Enough_Sleep" xr10:uid="{DBCB2A43-01F8-4C83-9823-F054D4EC8C00}" cache="Slicer_Enough_Sleep" caption="Enough_Sleep" columnCount="2" showCaption="0"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B6036-177D-4161-879C-6E52E3CB6DEA}" name="Cleaned_Data" displayName="Cleaned_Data" ref="B1:H103" totalsRowShown="0" headerRowDxfId="27" dataDxfId="25" headerRowBorderDxfId="26" tableBorderDxfId="24" totalsRowBorderDxfId="23">
  <autoFilter ref="B1:H103" xr:uid="{6B6B6036-177D-4161-879C-6E52E3CB6DEA}"/>
  <tableColumns count="7">
    <tableColumn id="1" xr3:uid="{81893D84-4F1F-43E3-B152-08F03867D398}" name="Enough_Sleep" dataDxfId="22"/>
    <tableColumn id="2" xr3:uid="{462A19BF-2DEF-4886-BBEB-CA6ADBBEF9AA}" name="Sleep_Hours" dataDxfId="21"/>
    <tableColumn id="3" xr3:uid="{A4D7B786-6BDD-42D2-BF94-1A89DB64A961}" name="Phone_Reach" dataDxfId="20"/>
    <tableColumn id="4" xr3:uid="{AEAB946C-D864-4E38-B77B-2EA71072725C}" name="Phone_Usage" dataDxfId="19"/>
    <tableColumn id="5" xr3:uid="{0A239666-9A8C-49A5-A12B-136F9D92E028}" name="Tired_Level" dataDxfId="18"/>
    <tableColumn id="6" xr3:uid="{1639AB04-3694-449E-AE7C-C4B1DE421715}" name="Breakfast" dataDxfId="17"/>
    <tableColumn id="7" xr3:uid="{F1AE35C8-6287-4AFB-907B-87BF9D03BBD0}" name="Sleep_Group" dataDxfId="16">
      <calculatedColumnFormula>IF(C2&lt;=5,"≤5 hours",IF(C2&lt;=7,"6–7 hours","≥8 hours"))</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098E-F257-483E-9E5F-3615A4B5AB16}">
  <dimension ref="B1:H103"/>
  <sheetViews>
    <sheetView zoomScale="82" workbookViewId="0">
      <selection activeCell="B1" sqref="B1:H103"/>
    </sheetView>
  </sheetViews>
  <sheetFormatPr defaultRowHeight="14.5" x14ac:dyDescent="0.35"/>
  <cols>
    <col min="2" max="8" width="18" style="1" customWidth="1"/>
  </cols>
  <sheetData>
    <row r="1" spans="2:8" x14ac:dyDescent="0.35">
      <c r="B1" s="5" t="s">
        <v>0</v>
      </c>
      <c r="C1" s="6" t="s">
        <v>1</v>
      </c>
      <c r="D1" s="6" t="s">
        <v>2</v>
      </c>
      <c r="E1" s="6" t="s">
        <v>3</v>
      </c>
      <c r="F1" s="6" t="s">
        <v>4</v>
      </c>
      <c r="G1" s="6" t="s">
        <v>5</v>
      </c>
      <c r="H1" s="7" t="s">
        <v>6</v>
      </c>
    </row>
    <row r="2" spans="2:8" x14ac:dyDescent="0.35">
      <c r="B2" s="3" t="s">
        <v>7</v>
      </c>
      <c r="C2" s="2">
        <v>8</v>
      </c>
      <c r="D2" s="2" t="s">
        <v>7</v>
      </c>
      <c r="E2" s="2" t="s">
        <v>7</v>
      </c>
      <c r="F2" s="2">
        <v>3</v>
      </c>
      <c r="G2" s="2" t="s">
        <v>7</v>
      </c>
      <c r="H2" s="4" t="str">
        <f>IF(C2&lt;=5,"≤5 hours",IF(C2&lt;=7,"6–7 hours","≥8 hours"))</f>
        <v>≥8 hours</v>
      </c>
    </row>
    <row r="3" spans="2:8" x14ac:dyDescent="0.35">
      <c r="B3" s="3" t="s">
        <v>8</v>
      </c>
      <c r="C3" s="2">
        <v>6</v>
      </c>
      <c r="D3" s="2" t="s">
        <v>7</v>
      </c>
      <c r="E3" s="2" t="s">
        <v>7</v>
      </c>
      <c r="F3" s="2">
        <v>3</v>
      </c>
      <c r="G3" s="2" t="s">
        <v>8</v>
      </c>
      <c r="H3" s="4" t="str">
        <f t="shared" ref="H3:H66" si="0">IF(C3&lt;=5,"≤5 hours",IF(C3&lt;=7,"6–7 hours","≥8 hours"))</f>
        <v>6–7 hours</v>
      </c>
    </row>
    <row r="4" spans="2:8" x14ac:dyDescent="0.35">
      <c r="B4" s="3" t="s">
        <v>7</v>
      </c>
      <c r="C4" s="2">
        <v>6</v>
      </c>
      <c r="D4" s="2" t="s">
        <v>7</v>
      </c>
      <c r="E4" s="2" t="s">
        <v>7</v>
      </c>
      <c r="F4" s="2">
        <v>2</v>
      </c>
      <c r="G4" s="2" t="s">
        <v>7</v>
      </c>
      <c r="H4" s="4" t="str">
        <f t="shared" si="0"/>
        <v>6–7 hours</v>
      </c>
    </row>
    <row r="5" spans="2:8" x14ac:dyDescent="0.35">
      <c r="B5" s="3" t="s">
        <v>8</v>
      </c>
      <c r="C5" s="2">
        <v>7</v>
      </c>
      <c r="D5" s="2" t="s">
        <v>7</v>
      </c>
      <c r="E5" s="2" t="s">
        <v>7</v>
      </c>
      <c r="F5" s="2">
        <v>4</v>
      </c>
      <c r="G5" s="2" t="s">
        <v>8</v>
      </c>
      <c r="H5" s="4" t="str">
        <f t="shared" si="0"/>
        <v>6–7 hours</v>
      </c>
    </row>
    <row r="6" spans="2:8" x14ac:dyDescent="0.35">
      <c r="B6" s="3" t="s">
        <v>8</v>
      </c>
      <c r="C6" s="2">
        <v>7</v>
      </c>
      <c r="D6" s="2" t="s">
        <v>7</v>
      </c>
      <c r="E6" s="2" t="s">
        <v>7</v>
      </c>
      <c r="F6" s="2">
        <v>2</v>
      </c>
      <c r="G6" s="2" t="s">
        <v>7</v>
      </c>
      <c r="H6" s="4" t="str">
        <f t="shared" si="0"/>
        <v>6–7 hours</v>
      </c>
    </row>
    <row r="7" spans="2:8" x14ac:dyDescent="0.35">
      <c r="B7" s="3" t="s">
        <v>8</v>
      </c>
      <c r="C7" s="2">
        <v>7</v>
      </c>
      <c r="D7" s="2" t="s">
        <v>7</v>
      </c>
      <c r="E7" s="2" t="s">
        <v>7</v>
      </c>
      <c r="F7" s="2">
        <v>4</v>
      </c>
      <c r="G7" s="2" t="s">
        <v>8</v>
      </c>
      <c r="H7" s="4" t="str">
        <f t="shared" si="0"/>
        <v>6–7 hours</v>
      </c>
    </row>
    <row r="8" spans="2:8" x14ac:dyDescent="0.35">
      <c r="B8" s="3" t="s">
        <v>7</v>
      </c>
      <c r="C8" s="2">
        <v>7</v>
      </c>
      <c r="D8" s="2" t="s">
        <v>7</v>
      </c>
      <c r="E8" s="2" t="s">
        <v>7</v>
      </c>
      <c r="F8" s="2">
        <v>3</v>
      </c>
      <c r="G8" s="2" t="s">
        <v>7</v>
      </c>
      <c r="H8" s="4" t="str">
        <f t="shared" si="0"/>
        <v>6–7 hours</v>
      </c>
    </row>
    <row r="9" spans="2:8" x14ac:dyDescent="0.35">
      <c r="B9" s="3" t="s">
        <v>8</v>
      </c>
      <c r="C9" s="2">
        <v>7</v>
      </c>
      <c r="D9" s="2" t="s">
        <v>7</v>
      </c>
      <c r="E9" s="2" t="s">
        <v>7</v>
      </c>
      <c r="F9" s="2">
        <v>3</v>
      </c>
      <c r="G9" s="2" t="s">
        <v>7</v>
      </c>
      <c r="H9" s="4" t="str">
        <f t="shared" si="0"/>
        <v>6–7 hours</v>
      </c>
    </row>
    <row r="10" spans="2:8" x14ac:dyDescent="0.35">
      <c r="B10" s="3" t="s">
        <v>8</v>
      </c>
      <c r="C10" s="2">
        <v>4</v>
      </c>
      <c r="D10" s="2" t="s">
        <v>8</v>
      </c>
      <c r="E10" s="2" t="s">
        <v>7</v>
      </c>
      <c r="F10" s="2">
        <v>2</v>
      </c>
      <c r="G10" s="2" t="s">
        <v>7</v>
      </c>
      <c r="H10" s="4" t="str">
        <f t="shared" si="0"/>
        <v>≤5 hours</v>
      </c>
    </row>
    <row r="11" spans="2:8" x14ac:dyDescent="0.35">
      <c r="B11" s="3" t="s">
        <v>8</v>
      </c>
      <c r="C11" s="2">
        <v>6</v>
      </c>
      <c r="D11" s="2" t="s">
        <v>7</v>
      </c>
      <c r="E11" s="2" t="s">
        <v>7</v>
      </c>
      <c r="F11" s="2">
        <v>3</v>
      </c>
      <c r="G11" s="2" t="s">
        <v>7</v>
      </c>
      <c r="H11" s="4" t="str">
        <f t="shared" si="0"/>
        <v>6–7 hours</v>
      </c>
    </row>
    <row r="12" spans="2:8" x14ac:dyDescent="0.35">
      <c r="B12" s="3" t="s">
        <v>8</v>
      </c>
      <c r="C12" s="2">
        <v>10</v>
      </c>
      <c r="D12" s="2" t="s">
        <v>7</v>
      </c>
      <c r="E12" s="2" t="s">
        <v>7</v>
      </c>
      <c r="F12" s="2">
        <v>4</v>
      </c>
      <c r="G12" s="2" t="s">
        <v>8</v>
      </c>
      <c r="H12" s="4" t="str">
        <f t="shared" si="0"/>
        <v>≥8 hours</v>
      </c>
    </row>
    <row r="13" spans="2:8" x14ac:dyDescent="0.35">
      <c r="B13" s="3" t="s">
        <v>8</v>
      </c>
      <c r="C13" s="2">
        <v>7</v>
      </c>
      <c r="D13" s="2" t="s">
        <v>7</v>
      </c>
      <c r="E13" s="2" t="s">
        <v>7</v>
      </c>
      <c r="F13" s="2">
        <v>2</v>
      </c>
      <c r="G13" s="2" t="s">
        <v>7</v>
      </c>
      <c r="H13" s="4" t="str">
        <f t="shared" si="0"/>
        <v>6–7 hours</v>
      </c>
    </row>
    <row r="14" spans="2:8" x14ac:dyDescent="0.35">
      <c r="B14" s="3" t="s">
        <v>7</v>
      </c>
      <c r="C14" s="2">
        <v>7</v>
      </c>
      <c r="D14" s="2" t="s">
        <v>7</v>
      </c>
      <c r="E14" s="2" t="s">
        <v>7</v>
      </c>
      <c r="F14" s="2">
        <v>3</v>
      </c>
      <c r="G14" s="2" t="s">
        <v>8</v>
      </c>
      <c r="H14" s="4" t="str">
        <f t="shared" si="0"/>
        <v>6–7 hours</v>
      </c>
    </row>
    <row r="15" spans="2:8" x14ac:dyDescent="0.35">
      <c r="B15" s="3" t="s">
        <v>7</v>
      </c>
      <c r="C15" s="2">
        <v>8</v>
      </c>
      <c r="D15" s="2" t="s">
        <v>7</v>
      </c>
      <c r="E15" s="2" t="s">
        <v>7</v>
      </c>
      <c r="F15" s="2">
        <v>2</v>
      </c>
      <c r="G15" s="2" t="s">
        <v>8</v>
      </c>
      <c r="H15" s="4" t="str">
        <f t="shared" si="0"/>
        <v>≥8 hours</v>
      </c>
    </row>
    <row r="16" spans="2:8" x14ac:dyDescent="0.35">
      <c r="B16" s="3" t="s">
        <v>7</v>
      </c>
      <c r="C16" s="2">
        <v>7</v>
      </c>
      <c r="D16" s="2" t="s">
        <v>8</v>
      </c>
      <c r="E16" s="2" t="s">
        <v>7</v>
      </c>
      <c r="F16" s="2">
        <v>3</v>
      </c>
      <c r="G16" s="2" t="s">
        <v>7</v>
      </c>
      <c r="H16" s="4" t="str">
        <f t="shared" si="0"/>
        <v>6–7 hours</v>
      </c>
    </row>
    <row r="17" spans="2:8" x14ac:dyDescent="0.35">
      <c r="B17" s="3" t="s">
        <v>7</v>
      </c>
      <c r="C17" s="2">
        <v>8</v>
      </c>
      <c r="D17" s="2" t="s">
        <v>7</v>
      </c>
      <c r="E17" s="2" t="s">
        <v>7</v>
      </c>
      <c r="F17" s="2">
        <v>3</v>
      </c>
      <c r="G17" s="2" t="s">
        <v>8</v>
      </c>
      <c r="H17" s="4" t="str">
        <f t="shared" si="0"/>
        <v>≥8 hours</v>
      </c>
    </row>
    <row r="18" spans="2:8" x14ac:dyDescent="0.35">
      <c r="B18" s="3" t="s">
        <v>7</v>
      </c>
      <c r="C18" s="2">
        <v>6</v>
      </c>
      <c r="D18" s="2" t="s">
        <v>7</v>
      </c>
      <c r="E18" s="2" t="s">
        <v>7</v>
      </c>
      <c r="F18" s="2">
        <v>4</v>
      </c>
      <c r="G18" s="2" t="s">
        <v>7</v>
      </c>
      <c r="H18" s="4" t="str">
        <f t="shared" si="0"/>
        <v>6–7 hours</v>
      </c>
    </row>
    <row r="19" spans="2:8" x14ac:dyDescent="0.35">
      <c r="B19" s="3" t="s">
        <v>7</v>
      </c>
      <c r="C19" s="2">
        <v>8</v>
      </c>
      <c r="D19" s="2" t="s">
        <v>7</v>
      </c>
      <c r="E19" s="2" t="s">
        <v>7</v>
      </c>
      <c r="F19" s="2">
        <v>3</v>
      </c>
      <c r="G19" s="2" t="s">
        <v>7</v>
      </c>
      <c r="H19" s="4" t="str">
        <f t="shared" si="0"/>
        <v>≥8 hours</v>
      </c>
    </row>
    <row r="20" spans="2:8" x14ac:dyDescent="0.35">
      <c r="B20" s="3" t="s">
        <v>8</v>
      </c>
      <c r="C20" s="2">
        <v>9</v>
      </c>
      <c r="D20" s="2" t="s">
        <v>7</v>
      </c>
      <c r="E20" s="2" t="s">
        <v>7</v>
      </c>
      <c r="F20" s="2">
        <v>3</v>
      </c>
      <c r="G20" s="2" t="s">
        <v>7</v>
      </c>
      <c r="H20" s="4" t="str">
        <f t="shared" si="0"/>
        <v>≥8 hours</v>
      </c>
    </row>
    <row r="21" spans="2:8" x14ac:dyDescent="0.35">
      <c r="B21" s="3" t="s">
        <v>7</v>
      </c>
      <c r="C21" s="2">
        <v>8</v>
      </c>
      <c r="D21" s="2" t="s">
        <v>7</v>
      </c>
      <c r="E21" s="2" t="s">
        <v>7</v>
      </c>
      <c r="F21" s="2">
        <v>3</v>
      </c>
      <c r="G21" s="2" t="s">
        <v>8</v>
      </c>
      <c r="H21" s="4" t="str">
        <f t="shared" si="0"/>
        <v>≥8 hours</v>
      </c>
    </row>
    <row r="22" spans="2:8" x14ac:dyDescent="0.35">
      <c r="B22" s="3" t="s">
        <v>8</v>
      </c>
      <c r="C22" s="2">
        <v>2</v>
      </c>
      <c r="D22" s="2" t="s">
        <v>7</v>
      </c>
      <c r="E22" s="2" t="s">
        <v>7</v>
      </c>
      <c r="F22" s="2">
        <v>5</v>
      </c>
      <c r="G22" s="2" t="s">
        <v>8</v>
      </c>
      <c r="H22" s="4" t="str">
        <f t="shared" si="0"/>
        <v>≤5 hours</v>
      </c>
    </row>
    <row r="23" spans="2:8" x14ac:dyDescent="0.35">
      <c r="B23" s="3" t="s">
        <v>8</v>
      </c>
      <c r="C23" s="2">
        <v>4</v>
      </c>
      <c r="D23" s="2" t="s">
        <v>7</v>
      </c>
      <c r="E23" s="2" t="s">
        <v>7</v>
      </c>
      <c r="F23" s="2">
        <v>2</v>
      </c>
      <c r="G23" s="2" t="s">
        <v>7</v>
      </c>
      <c r="H23" s="4" t="str">
        <f t="shared" si="0"/>
        <v>≤5 hours</v>
      </c>
    </row>
    <row r="24" spans="2:8" x14ac:dyDescent="0.35">
      <c r="B24" s="3" t="s">
        <v>8</v>
      </c>
      <c r="C24" s="2">
        <v>5</v>
      </c>
      <c r="D24" s="2" t="s">
        <v>7</v>
      </c>
      <c r="E24" s="2" t="s">
        <v>8</v>
      </c>
      <c r="F24" s="2">
        <v>3</v>
      </c>
      <c r="G24" s="2" t="s">
        <v>7</v>
      </c>
      <c r="H24" s="4" t="str">
        <f t="shared" si="0"/>
        <v>≤5 hours</v>
      </c>
    </row>
    <row r="25" spans="2:8" x14ac:dyDescent="0.35">
      <c r="B25" s="3" t="s">
        <v>8</v>
      </c>
      <c r="C25" s="2">
        <v>7</v>
      </c>
      <c r="D25" s="2" t="s">
        <v>7</v>
      </c>
      <c r="E25" s="2" t="s">
        <v>8</v>
      </c>
      <c r="F25" s="2">
        <v>3</v>
      </c>
      <c r="G25" s="2" t="s">
        <v>7</v>
      </c>
      <c r="H25" s="4" t="str">
        <f t="shared" si="0"/>
        <v>6–7 hours</v>
      </c>
    </row>
    <row r="26" spans="2:8" x14ac:dyDescent="0.35">
      <c r="B26" s="3" t="s">
        <v>8</v>
      </c>
      <c r="C26" s="2">
        <v>5</v>
      </c>
      <c r="D26" s="2" t="s">
        <v>7</v>
      </c>
      <c r="E26" s="2" t="s">
        <v>7</v>
      </c>
      <c r="F26" s="2">
        <v>2</v>
      </c>
      <c r="G26" s="2" t="s">
        <v>8</v>
      </c>
      <c r="H26" s="4" t="str">
        <f t="shared" si="0"/>
        <v>≤5 hours</v>
      </c>
    </row>
    <row r="27" spans="2:8" x14ac:dyDescent="0.35">
      <c r="B27" s="3" t="s">
        <v>8</v>
      </c>
      <c r="C27" s="2">
        <v>7</v>
      </c>
      <c r="D27" s="2" t="s">
        <v>8</v>
      </c>
      <c r="E27" s="2" t="s">
        <v>7</v>
      </c>
      <c r="F27" s="2">
        <v>5</v>
      </c>
      <c r="G27" s="2" t="s">
        <v>8</v>
      </c>
      <c r="H27" s="4" t="str">
        <f t="shared" si="0"/>
        <v>6–7 hours</v>
      </c>
    </row>
    <row r="28" spans="2:8" x14ac:dyDescent="0.35">
      <c r="B28" s="3" t="s">
        <v>8</v>
      </c>
      <c r="C28" s="2">
        <v>6</v>
      </c>
      <c r="D28" s="2" t="s">
        <v>7</v>
      </c>
      <c r="E28" s="2" t="s">
        <v>7</v>
      </c>
      <c r="F28" s="2">
        <v>3</v>
      </c>
      <c r="G28" s="2" t="s">
        <v>8</v>
      </c>
      <c r="H28" s="4" t="str">
        <f t="shared" si="0"/>
        <v>6–7 hours</v>
      </c>
    </row>
    <row r="29" spans="2:8" x14ac:dyDescent="0.35">
      <c r="B29" s="3" t="s">
        <v>8</v>
      </c>
      <c r="C29" s="2">
        <v>6</v>
      </c>
      <c r="D29" s="2" t="s">
        <v>7</v>
      </c>
      <c r="E29" s="2" t="s">
        <v>7</v>
      </c>
      <c r="F29" s="2">
        <v>2</v>
      </c>
      <c r="G29" s="2" t="s">
        <v>8</v>
      </c>
      <c r="H29" s="4" t="str">
        <f t="shared" si="0"/>
        <v>6–7 hours</v>
      </c>
    </row>
    <row r="30" spans="2:8" x14ac:dyDescent="0.35">
      <c r="B30" s="3" t="s">
        <v>7</v>
      </c>
      <c r="C30" s="2">
        <v>7</v>
      </c>
      <c r="D30" s="2" t="s">
        <v>7</v>
      </c>
      <c r="E30" s="2" t="s">
        <v>8</v>
      </c>
      <c r="F30" s="2">
        <v>2</v>
      </c>
      <c r="G30" s="2" t="s">
        <v>7</v>
      </c>
      <c r="H30" s="4" t="str">
        <f t="shared" si="0"/>
        <v>6–7 hours</v>
      </c>
    </row>
    <row r="31" spans="2:8" x14ac:dyDescent="0.35">
      <c r="B31" s="3" t="s">
        <v>7</v>
      </c>
      <c r="C31" s="2">
        <v>9</v>
      </c>
      <c r="D31" s="2" t="s">
        <v>8</v>
      </c>
      <c r="E31" s="2" t="s">
        <v>8</v>
      </c>
      <c r="F31" s="2">
        <v>2</v>
      </c>
      <c r="G31" s="2" t="s">
        <v>7</v>
      </c>
      <c r="H31" s="4" t="str">
        <f t="shared" si="0"/>
        <v>≥8 hours</v>
      </c>
    </row>
    <row r="32" spans="2:8" x14ac:dyDescent="0.35">
      <c r="B32" s="3" t="s">
        <v>7</v>
      </c>
      <c r="C32" s="2">
        <v>8</v>
      </c>
      <c r="D32" s="2" t="s">
        <v>7</v>
      </c>
      <c r="E32" s="2" t="s">
        <v>7</v>
      </c>
      <c r="F32" s="2">
        <v>2</v>
      </c>
      <c r="G32" s="2" t="s">
        <v>7</v>
      </c>
      <c r="H32" s="4" t="str">
        <f t="shared" si="0"/>
        <v>≥8 hours</v>
      </c>
    </row>
    <row r="33" spans="2:8" x14ac:dyDescent="0.35">
      <c r="B33" s="3" t="s">
        <v>8</v>
      </c>
      <c r="C33" s="2">
        <v>8</v>
      </c>
      <c r="D33" s="2" t="s">
        <v>8</v>
      </c>
      <c r="E33" s="2" t="s">
        <v>7</v>
      </c>
      <c r="F33" s="2">
        <v>3</v>
      </c>
      <c r="G33" s="2" t="s">
        <v>7</v>
      </c>
      <c r="H33" s="4" t="str">
        <f t="shared" si="0"/>
        <v>≥8 hours</v>
      </c>
    </row>
    <row r="34" spans="2:8" x14ac:dyDescent="0.35">
      <c r="B34" s="3" t="s">
        <v>8</v>
      </c>
      <c r="C34" s="2">
        <v>6</v>
      </c>
      <c r="D34" s="2" t="s">
        <v>7</v>
      </c>
      <c r="E34" s="2" t="s">
        <v>7</v>
      </c>
      <c r="F34" s="2">
        <v>4</v>
      </c>
      <c r="G34" s="2" t="s">
        <v>8</v>
      </c>
      <c r="H34" s="4" t="str">
        <f t="shared" si="0"/>
        <v>6–7 hours</v>
      </c>
    </row>
    <row r="35" spans="2:8" x14ac:dyDescent="0.35">
      <c r="B35" s="3" t="s">
        <v>8</v>
      </c>
      <c r="C35" s="2">
        <v>6</v>
      </c>
      <c r="D35" s="2" t="s">
        <v>8</v>
      </c>
      <c r="E35" s="2" t="s">
        <v>8</v>
      </c>
      <c r="F35" s="2">
        <v>3</v>
      </c>
      <c r="G35" s="2" t="s">
        <v>8</v>
      </c>
      <c r="H35" s="4" t="str">
        <f t="shared" si="0"/>
        <v>6–7 hours</v>
      </c>
    </row>
    <row r="36" spans="2:8" x14ac:dyDescent="0.35">
      <c r="B36" s="3" t="s">
        <v>8</v>
      </c>
      <c r="C36" s="2">
        <v>7</v>
      </c>
      <c r="D36" s="2" t="s">
        <v>8</v>
      </c>
      <c r="E36" s="2" t="s">
        <v>7</v>
      </c>
      <c r="F36" s="2">
        <v>3</v>
      </c>
      <c r="G36" s="2" t="s">
        <v>7</v>
      </c>
      <c r="H36" s="4" t="str">
        <f t="shared" si="0"/>
        <v>6–7 hours</v>
      </c>
    </row>
    <row r="37" spans="2:8" x14ac:dyDescent="0.35">
      <c r="B37" s="3" t="s">
        <v>8</v>
      </c>
      <c r="C37" s="2">
        <v>7</v>
      </c>
      <c r="D37" s="2" t="s">
        <v>7</v>
      </c>
      <c r="E37" s="2" t="s">
        <v>7</v>
      </c>
      <c r="F37" s="2">
        <v>3</v>
      </c>
      <c r="G37" s="2" t="s">
        <v>7</v>
      </c>
      <c r="H37" s="4" t="str">
        <f t="shared" si="0"/>
        <v>6–7 hours</v>
      </c>
    </row>
    <row r="38" spans="2:8" x14ac:dyDescent="0.35">
      <c r="B38" s="3" t="s">
        <v>7</v>
      </c>
      <c r="C38" s="2">
        <v>7</v>
      </c>
      <c r="D38" s="2" t="s">
        <v>8</v>
      </c>
      <c r="E38" s="2" t="s">
        <v>8</v>
      </c>
      <c r="F38" s="2">
        <v>2</v>
      </c>
      <c r="G38" s="2" t="s">
        <v>7</v>
      </c>
      <c r="H38" s="4" t="str">
        <f t="shared" si="0"/>
        <v>6–7 hours</v>
      </c>
    </row>
    <row r="39" spans="2:8" x14ac:dyDescent="0.35">
      <c r="B39" s="3" t="s">
        <v>7</v>
      </c>
      <c r="C39" s="2">
        <v>9</v>
      </c>
      <c r="D39" s="2" t="s">
        <v>8</v>
      </c>
      <c r="E39" s="2" t="s">
        <v>7</v>
      </c>
      <c r="F39" s="2">
        <v>2</v>
      </c>
      <c r="G39" s="2" t="s">
        <v>7</v>
      </c>
      <c r="H39" s="4" t="str">
        <f t="shared" si="0"/>
        <v>≥8 hours</v>
      </c>
    </row>
    <row r="40" spans="2:8" x14ac:dyDescent="0.35">
      <c r="B40" s="3" t="s">
        <v>8</v>
      </c>
      <c r="C40" s="2">
        <v>5</v>
      </c>
      <c r="D40" s="2" t="s">
        <v>7</v>
      </c>
      <c r="E40" s="2" t="s">
        <v>8</v>
      </c>
      <c r="F40" s="2">
        <v>5</v>
      </c>
      <c r="G40" s="2" t="s">
        <v>8</v>
      </c>
      <c r="H40" s="4" t="str">
        <f t="shared" si="0"/>
        <v>≤5 hours</v>
      </c>
    </row>
    <row r="41" spans="2:8" x14ac:dyDescent="0.35">
      <c r="B41" s="3" t="s">
        <v>8</v>
      </c>
      <c r="C41" s="2">
        <v>7</v>
      </c>
      <c r="D41" s="2" t="s">
        <v>7</v>
      </c>
      <c r="E41" s="2" t="s">
        <v>7</v>
      </c>
      <c r="F41" s="2">
        <v>2</v>
      </c>
      <c r="G41" s="2" t="s">
        <v>8</v>
      </c>
      <c r="H41" s="4" t="str">
        <f t="shared" si="0"/>
        <v>6–7 hours</v>
      </c>
    </row>
    <row r="42" spans="2:8" x14ac:dyDescent="0.35">
      <c r="B42" s="3" t="s">
        <v>7</v>
      </c>
      <c r="C42" s="2">
        <v>8</v>
      </c>
      <c r="D42" s="2" t="s">
        <v>8</v>
      </c>
      <c r="E42" s="2" t="s">
        <v>7</v>
      </c>
      <c r="F42" s="2">
        <v>1</v>
      </c>
      <c r="G42" s="2" t="s">
        <v>7</v>
      </c>
      <c r="H42" s="4" t="str">
        <f t="shared" si="0"/>
        <v>≥8 hours</v>
      </c>
    </row>
    <row r="43" spans="2:8" x14ac:dyDescent="0.35">
      <c r="B43" s="3" t="s">
        <v>8</v>
      </c>
      <c r="C43" s="2">
        <v>7</v>
      </c>
      <c r="D43" s="2" t="s">
        <v>8</v>
      </c>
      <c r="E43" s="2" t="s">
        <v>7</v>
      </c>
      <c r="F43" s="2">
        <v>4</v>
      </c>
      <c r="G43" s="2" t="s">
        <v>7</v>
      </c>
      <c r="H43" s="4" t="str">
        <f t="shared" si="0"/>
        <v>6–7 hours</v>
      </c>
    </row>
    <row r="44" spans="2:8" x14ac:dyDescent="0.35">
      <c r="B44" s="3" t="s">
        <v>8</v>
      </c>
      <c r="C44" s="2">
        <v>5</v>
      </c>
      <c r="D44" s="2" t="s">
        <v>7</v>
      </c>
      <c r="E44" s="2" t="s">
        <v>7</v>
      </c>
      <c r="F44" s="2">
        <v>3</v>
      </c>
      <c r="G44" s="2" t="s">
        <v>8</v>
      </c>
      <c r="H44" s="4" t="str">
        <f t="shared" si="0"/>
        <v>≤5 hours</v>
      </c>
    </row>
    <row r="45" spans="2:8" x14ac:dyDescent="0.35">
      <c r="B45" s="3" t="s">
        <v>8</v>
      </c>
      <c r="C45" s="2">
        <v>6</v>
      </c>
      <c r="D45" s="2" t="s">
        <v>7</v>
      </c>
      <c r="E45" s="2" t="s">
        <v>7</v>
      </c>
      <c r="F45" s="2">
        <v>3</v>
      </c>
      <c r="G45" s="2" t="s">
        <v>7</v>
      </c>
      <c r="H45" s="4" t="str">
        <f t="shared" si="0"/>
        <v>6–7 hours</v>
      </c>
    </row>
    <row r="46" spans="2:8" x14ac:dyDescent="0.35">
      <c r="B46" s="3" t="s">
        <v>8</v>
      </c>
      <c r="C46" s="2">
        <v>4</v>
      </c>
      <c r="D46" s="2" t="s">
        <v>8</v>
      </c>
      <c r="E46" s="2" t="s">
        <v>8</v>
      </c>
      <c r="F46" s="2">
        <v>5</v>
      </c>
      <c r="G46" s="2" t="s">
        <v>8</v>
      </c>
      <c r="H46" s="4" t="str">
        <f t="shared" si="0"/>
        <v>≤5 hours</v>
      </c>
    </row>
    <row r="47" spans="2:8" x14ac:dyDescent="0.35">
      <c r="B47" s="3" t="s">
        <v>8</v>
      </c>
      <c r="C47" s="2">
        <v>7</v>
      </c>
      <c r="D47" s="2" t="s">
        <v>7</v>
      </c>
      <c r="E47" s="2" t="s">
        <v>7</v>
      </c>
      <c r="F47" s="2">
        <v>4</v>
      </c>
      <c r="G47" s="2" t="s">
        <v>8</v>
      </c>
      <c r="H47" s="4" t="str">
        <f t="shared" si="0"/>
        <v>6–7 hours</v>
      </c>
    </row>
    <row r="48" spans="2:8" x14ac:dyDescent="0.35">
      <c r="B48" s="3" t="s">
        <v>7</v>
      </c>
      <c r="C48" s="2">
        <v>9</v>
      </c>
      <c r="D48" s="2" t="s">
        <v>7</v>
      </c>
      <c r="E48" s="2" t="s">
        <v>7</v>
      </c>
      <c r="F48" s="2">
        <v>1</v>
      </c>
      <c r="G48" s="2" t="s">
        <v>7</v>
      </c>
      <c r="H48" s="4" t="str">
        <f t="shared" si="0"/>
        <v>≥8 hours</v>
      </c>
    </row>
    <row r="49" spans="2:8" x14ac:dyDescent="0.35">
      <c r="B49" s="3" t="s">
        <v>8</v>
      </c>
      <c r="C49" s="2">
        <v>5</v>
      </c>
      <c r="D49" s="2" t="s">
        <v>8</v>
      </c>
      <c r="E49" s="2" t="s">
        <v>8</v>
      </c>
      <c r="F49" s="2">
        <v>5</v>
      </c>
      <c r="G49" s="2" t="s">
        <v>7</v>
      </c>
      <c r="H49" s="4" t="str">
        <f t="shared" si="0"/>
        <v>≤5 hours</v>
      </c>
    </row>
    <row r="50" spans="2:8" x14ac:dyDescent="0.35">
      <c r="B50" s="3" t="s">
        <v>8</v>
      </c>
      <c r="C50" s="2">
        <v>6</v>
      </c>
      <c r="D50" s="2" t="s">
        <v>8</v>
      </c>
      <c r="E50" s="2" t="s">
        <v>7</v>
      </c>
      <c r="F50" s="2">
        <v>3</v>
      </c>
      <c r="G50" s="2" t="s">
        <v>7</v>
      </c>
      <c r="H50" s="4" t="str">
        <f t="shared" si="0"/>
        <v>6–7 hours</v>
      </c>
    </row>
    <row r="51" spans="2:8" x14ac:dyDescent="0.35">
      <c r="B51" s="3" t="s">
        <v>8</v>
      </c>
      <c r="C51" s="2">
        <v>4</v>
      </c>
      <c r="D51" s="2" t="s">
        <v>7</v>
      </c>
      <c r="E51" s="2" t="s">
        <v>7</v>
      </c>
      <c r="F51" s="2">
        <v>2</v>
      </c>
      <c r="G51" s="2" t="s">
        <v>7</v>
      </c>
      <c r="H51" s="4" t="str">
        <f t="shared" si="0"/>
        <v>≤5 hours</v>
      </c>
    </row>
    <row r="52" spans="2:8" x14ac:dyDescent="0.35">
      <c r="B52" s="3" t="s">
        <v>8</v>
      </c>
      <c r="C52" s="2">
        <v>5</v>
      </c>
      <c r="D52" s="2" t="s">
        <v>7</v>
      </c>
      <c r="E52" s="2" t="s">
        <v>8</v>
      </c>
      <c r="F52" s="2">
        <v>3</v>
      </c>
      <c r="G52" s="2" t="s">
        <v>8</v>
      </c>
      <c r="H52" s="4" t="str">
        <f t="shared" si="0"/>
        <v>≤5 hours</v>
      </c>
    </row>
    <row r="53" spans="2:8" x14ac:dyDescent="0.35">
      <c r="B53" s="3" t="s">
        <v>8</v>
      </c>
      <c r="C53" s="2">
        <v>8</v>
      </c>
      <c r="D53" s="2" t="s">
        <v>7</v>
      </c>
      <c r="E53" s="2" t="s">
        <v>7</v>
      </c>
      <c r="F53" s="2">
        <v>3</v>
      </c>
      <c r="G53" s="2" t="s">
        <v>7</v>
      </c>
      <c r="H53" s="4" t="str">
        <f t="shared" si="0"/>
        <v>≥8 hours</v>
      </c>
    </row>
    <row r="54" spans="2:8" x14ac:dyDescent="0.35">
      <c r="B54" s="3" t="s">
        <v>8</v>
      </c>
      <c r="C54" s="2">
        <v>7</v>
      </c>
      <c r="D54" s="2" t="s">
        <v>8</v>
      </c>
      <c r="E54" s="2" t="s">
        <v>7</v>
      </c>
      <c r="F54" s="2">
        <v>4</v>
      </c>
      <c r="G54" s="2" t="s">
        <v>7</v>
      </c>
      <c r="H54" s="4" t="str">
        <f t="shared" si="0"/>
        <v>6–7 hours</v>
      </c>
    </row>
    <row r="55" spans="2:8" x14ac:dyDescent="0.35">
      <c r="B55" s="3" t="s">
        <v>8</v>
      </c>
      <c r="C55" s="2">
        <v>5</v>
      </c>
      <c r="D55" s="2" t="s">
        <v>7</v>
      </c>
      <c r="E55" s="2" t="s">
        <v>7</v>
      </c>
      <c r="F55" s="2">
        <v>2</v>
      </c>
      <c r="G55" s="2" t="s">
        <v>8</v>
      </c>
      <c r="H55" s="4" t="str">
        <f t="shared" si="0"/>
        <v>≤5 hours</v>
      </c>
    </row>
    <row r="56" spans="2:8" x14ac:dyDescent="0.35">
      <c r="B56" s="3" t="s">
        <v>8</v>
      </c>
      <c r="C56" s="2">
        <v>7</v>
      </c>
      <c r="D56" s="2" t="s">
        <v>7</v>
      </c>
      <c r="E56" s="2" t="s">
        <v>7</v>
      </c>
      <c r="F56" s="2">
        <v>3</v>
      </c>
      <c r="G56" s="2" t="s">
        <v>7</v>
      </c>
      <c r="H56" s="4" t="str">
        <f t="shared" si="0"/>
        <v>6–7 hours</v>
      </c>
    </row>
    <row r="57" spans="2:8" x14ac:dyDescent="0.35">
      <c r="B57" s="3" t="s">
        <v>8</v>
      </c>
      <c r="C57" s="2">
        <v>5</v>
      </c>
      <c r="D57" s="2" t="s">
        <v>8</v>
      </c>
      <c r="E57" s="2" t="s">
        <v>7</v>
      </c>
      <c r="F57" s="2">
        <v>2</v>
      </c>
      <c r="G57" s="2" t="s">
        <v>7</v>
      </c>
      <c r="H57" s="4" t="str">
        <f t="shared" si="0"/>
        <v>≤5 hours</v>
      </c>
    </row>
    <row r="58" spans="2:8" x14ac:dyDescent="0.35">
      <c r="B58" s="3" t="s">
        <v>8</v>
      </c>
      <c r="C58" s="2">
        <v>6</v>
      </c>
      <c r="D58" s="2" t="s">
        <v>7</v>
      </c>
      <c r="E58" s="2" t="s">
        <v>7</v>
      </c>
      <c r="F58" s="2">
        <v>3</v>
      </c>
      <c r="G58" s="2" t="s">
        <v>8</v>
      </c>
      <c r="H58" s="4" t="str">
        <f t="shared" si="0"/>
        <v>6–7 hours</v>
      </c>
    </row>
    <row r="59" spans="2:8" x14ac:dyDescent="0.35">
      <c r="B59" s="3" t="s">
        <v>8</v>
      </c>
      <c r="C59" s="2">
        <v>9</v>
      </c>
      <c r="D59" s="2" t="s">
        <v>8</v>
      </c>
      <c r="E59" s="2" t="s">
        <v>7</v>
      </c>
      <c r="F59" s="2">
        <v>5</v>
      </c>
      <c r="G59" s="2" t="s">
        <v>8</v>
      </c>
      <c r="H59" s="4" t="str">
        <f t="shared" si="0"/>
        <v>≥8 hours</v>
      </c>
    </row>
    <row r="60" spans="2:8" x14ac:dyDescent="0.35">
      <c r="B60" s="3" t="s">
        <v>8</v>
      </c>
      <c r="C60" s="2">
        <v>9</v>
      </c>
      <c r="D60" s="2" t="s">
        <v>7</v>
      </c>
      <c r="E60" s="2" t="s">
        <v>8</v>
      </c>
      <c r="F60" s="2">
        <v>4</v>
      </c>
      <c r="G60" s="2" t="s">
        <v>7</v>
      </c>
      <c r="H60" s="4" t="str">
        <f t="shared" si="0"/>
        <v>≥8 hours</v>
      </c>
    </row>
    <row r="61" spans="2:8" x14ac:dyDescent="0.35">
      <c r="B61" s="3" t="s">
        <v>7</v>
      </c>
      <c r="C61" s="2">
        <v>7</v>
      </c>
      <c r="D61" s="2" t="s">
        <v>7</v>
      </c>
      <c r="E61" s="2" t="s">
        <v>7</v>
      </c>
      <c r="F61" s="2">
        <v>2</v>
      </c>
      <c r="G61" s="2" t="s">
        <v>8</v>
      </c>
      <c r="H61" s="4" t="str">
        <f t="shared" si="0"/>
        <v>6–7 hours</v>
      </c>
    </row>
    <row r="62" spans="2:8" x14ac:dyDescent="0.35">
      <c r="B62" s="3" t="s">
        <v>8</v>
      </c>
      <c r="C62" s="2">
        <v>6</v>
      </c>
      <c r="D62" s="2" t="s">
        <v>7</v>
      </c>
      <c r="E62" s="2" t="s">
        <v>7</v>
      </c>
      <c r="F62" s="2">
        <v>3</v>
      </c>
      <c r="G62" s="2" t="s">
        <v>8</v>
      </c>
      <c r="H62" s="4" t="str">
        <f t="shared" si="0"/>
        <v>6–7 hours</v>
      </c>
    </row>
    <row r="63" spans="2:8" x14ac:dyDescent="0.35">
      <c r="B63" s="3" t="s">
        <v>8</v>
      </c>
      <c r="C63" s="2">
        <v>7</v>
      </c>
      <c r="D63" s="2" t="s">
        <v>7</v>
      </c>
      <c r="E63" s="2" t="s">
        <v>7</v>
      </c>
      <c r="F63" s="2">
        <v>3</v>
      </c>
      <c r="G63" s="2" t="s">
        <v>7</v>
      </c>
      <c r="H63" s="4" t="str">
        <f t="shared" si="0"/>
        <v>6–7 hours</v>
      </c>
    </row>
    <row r="64" spans="2:8" x14ac:dyDescent="0.35">
      <c r="B64" s="3" t="s">
        <v>8</v>
      </c>
      <c r="C64" s="2">
        <v>2</v>
      </c>
      <c r="D64" s="2" t="s">
        <v>8</v>
      </c>
      <c r="E64" s="2" t="s">
        <v>8</v>
      </c>
      <c r="F64" s="2">
        <v>5</v>
      </c>
      <c r="G64" s="2" t="s">
        <v>8</v>
      </c>
      <c r="H64" s="4" t="str">
        <f t="shared" si="0"/>
        <v>≤5 hours</v>
      </c>
    </row>
    <row r="65" spans="2:8" x14ac:dyDescent="0.35">
      <c r="B65" s="3" t="s">
        <v>8</v>
      </c>
      <c r="C65" s="2">
        <v>8</v>
      </c>
      <c r="D65" s="2" t="s">
        <v>7</v>
      </c>
      <c r="E65" s="2" t="s">
        <v>7</v>
      </c>
      <c r="F65" s="2">
        <v>5</v>
      </c>
      <c r="G65" s="2" t="s">
        <v>8</v>
      </c>
      <c r="H65" s="4" t="str">
        <f t="shared" si="0"/>
        <v>≥8 hours</v>
      </c>
    </row>
    <row r="66" spans="2:8" x14ac:dyDescent="0.35">
      <c r="B66" s="3" t="s">
        <v>8</v>
      </c>
      <c r="C66" s="2">
        <v>7</v>
      </c>
      <c r="D66" s="2" t="s">
        <v>7</v>
      </c>
      <c r="E66" s="2" t="s">
        <v>7</v>
      </c>
      <c r="F66" s="2">
        <v>4</v>
      </c>
      <c r="G66" s="2" t="s">
        <v>7</v>
      </c>
      <c r="H66" s="4" t="str">
        <f t="shared" si="0"/>
        <v>6–7 hours</v>
      </c>
    </row>
    <row r="67" spans="2:8" x14ac:dyDescent="0.35">
      <c r="B67" s="3" t="s">
        <v>7</v>
      </c>
      <c r="C67" s="2">
        <v>7</v>
      </c>
      <c r="D67" s="2" t="s">
        <v>7</v>
      </c>
      <c r="E67" s="2" t="s">
        <v>8</v>
      </c>
      <c r="F67" s="2">
        <v>1</v>
      </c>
      <c r="G67" s="2" t="s">
        <v>8</v>
      </c>
      <c r="H67" s="4" t="str">
        <f t="shared" ref="H67:H103" si="1">IF(C67&lt;=5,"≤5 hours",IF(C67&lt;=7,"6–7 hours","≥8 hours"))</f>
        <v>6–7 hours</v>
      </c>
    </row>
    <row r="68" spans="2:8" x14ac:dyDescent="0.35">
      <c r="B68" s="3" t="s">
        <v>8</v>
      </c>
      <c r="C68" s="2">
        <v>7</v>
      </c>
      <c r="D68" s="2" t="s">
        <v>7</v>
      </c>
      <c r="E68" s="2" t="s">
        <v>7</v>
      </c>
      <c r="F68" s="2">
        <v>3</v>
      </c>
      <c r="G68" s="2" t="s">
        <v>7</v>
      </c>
      <c r="H68" s="4" t="str">
        <f t="shared" si="1"/>
        <v>6–7 hours</v>
      </c>
    </row>
    <row r="69" spans="2:8" x14ac:dyDescent="0.35">
      <c r="B69" s="3" t="s">
        <v>7</v>
      </c>
      <c r="C69" s="2">
        <v>7</v>
      </c>
      <c r="D69" s="2" t="s">
        <v>7</v>
      </c>
      <c r="E69" s="2" t="s">
        <v>8</v>
      </c>
      <c r="F69" s="2">
        <v>3</v>
      </c>
      <c r="G69" s="2" t="s">
        <v>8</v>
      </c>
      <c r="H69" s="4" t="str">
        <f t="shared" si="1"/>
        <v>6–7 hours</v>
      </c>
    </row>
    <row r="70" spans="2:8" x14ac:dyDescent="0.35">
      <c r="B70" s="3" t="s">
        <v>8</v>
      </c>
      <c r="C70" s="2">
        <v>6</v>
      </c>
      <c r="D70" s="2" t="s">
        <v>7</v>
      </c>
      <c r="E70" s="2" t="s">
        <v>7</v>
      </c>
      <c r="F70" s="2">
        <v>3</v>
      </c>
      <c r="G70" s="2" t="s">
        <v>7</v>
      </c>
      <c r="H70" s="4" t="str">
        <f t="shared" si="1"/>
        <v>6–7 hours</v>
      </c>
    </row>
    <row r="71" spans="2:8" x14ac:dyDescent="0.35">
      <c r="B71" s="3" t="s">
        <v>7</v>
      </c>
      <c r="C71" s="2">
        <v>6</v>
      </c>
      <c r="D71" s="2" t="s">
        <v>8</v>
      </c>
      <c r="E71" s="2" t="s">
        <v>7</v>
      </c>
      <c r="F71" s="2">
        <v>4</v>
      </c>
      <c r="G71" s="2" t="s">
        <v>7</v>
      </c>
      <c r="H71" s="4" t="str">
        <f t="shared" si="1"/>
        <v>6–7 hours</v>
      </c>
    </row>
    <row r="72" spans="2:8" x14ac:dyDescent="0.35">
      <c r="B72" s="3" t="s">
        <v>8</v>
      </c>
      <c r="C72" s="2">
        <v>5</v>
      </c>
      <c r="D72" s="2" t="s">
        <v>7</v>
      </c>
      <c r="E72" s="2" t="s">
        <v>7</v>
      </c>
      <c r="F72" s="2">
        <v>4</v>
      </c>
      <c r="G72" s="2" t="s">
        <v>7</v>
      </c>
      <c r="H72" s="4" t="str">
        <f t="shared" si="1"/>
        <v>≤5 hours</v>
      </c>
    </row>
    <row r="73" spans="2:8" x14ac:dyDescent="0.35">
      <c r="B73" s="3" t="s">
        <v>8</v>
      </c>
      <c r="C73" s="2">
        <v>5</v>
      </c>
      <c r="D73" s="2" t="s">
        <v>7</v>
      </c>
      <c r="E73" s="2" t="s">
        <v>7</v>
      </c>
      <c r="F73" s="2">
        <v>4</v>
      </c>
      <c r="G73" s="2" t="s">
        <v>8</v>
      </c>
      <c r="H73" s="4" t="str">
        <f t="shared" si="1"/>
        <v>≤5 hours</v>
      </c>
    </row>
    <row r="74" spans="2:8" x14ac:dyDescent="0.35">
      <c r="B74" s="3" t="s">
        <v>8</v>
      </c>
      <c r="C74" s="2">
        <v>6</v>
      </c>
      <c r="D74" s="2" t="s">
        <v>8</v>
      </c>
      <c r="E74" s="2" t="s">
        <v>7</v>
      </c>
      <c r="F74" s="2">
        <v>5</v>
      </c>
      <c r="G74" s="2" t="s">
        <v>7</v>
      </c>
      <c r="H74" s="4" t="str">
        <f t="shared" si="1"/>
        <v>6–7 hours</v>
      </c>
    </row>
    <row r="75" spans="2:8" x14ac:dyDescent="0.35">
      <c r="B75" s="3" t="s">
        <v>7</v>
      </c>
      <c r="C75" s="2">
        <v>7</v>
      </c>
      <c r="D75" s="2" t="s">
        <v>7</v>
      </c>
      <c r="E75" s="2" t="s">
        <v>7</v>
      </c>
      <c r="F75" s="2">
        <v>4</v>
      </c>
      <c r="G75" s="2" t="s">
        <v>7</v>
      </c>
      <c r="H75" s="4" t="str">
        <f t="shared" si="1"/>
        <v>6–7 hours</v>
      </c>
    </row>
    <row r="76" spans="2:8" x14ac:dyDescent="0.35">
      <c r="B76" s="3" t="s">
        <v>8</v>
      </c>
      <c r="C76" s="2">
        <v>6</v>
      </c>
      <c r="D76" s="2" t="s">
        <v>8</v>
      </c>
      <c r="E76" s="2" t="s">
        <v>7</v>
      </c>
      <c r="F76" s="2">
        <v>4</v>
      </c>
      <c r="G76" s="2" t="s">
        <v>8</v>
      </c>
      <c r="H76" s="4" t="str">
        <f t="shared" si="1"/>
        <v>6–7 hours</v>
      </c>
    </row>
    <row r="77" spans="2:8" x14ac:dyDescent="0.35">
      <c r="B77" s="3" t="s">
        <v>8</v>
      </c>
      <c r="C77" s="2">
        <v>8</v>
      </c>
      <c r="D77" s="2" t="s">
        <v>7</v>
      </c>
      <c r="E77" s="2" t="s">
        <v>7</v>
      </c>
      <c r="F77" s="2">
        <v>4</v>
      </c>
      <c r="G77" s="2" t="s">
        <v>7</v>
      </c>
      <c r="H77" s="4" t="str">
        <f t="shared" si="1"/>
        <v>≥8 hours</v>
      </c>
    </row>
    <row r="78" spans="2:8" x14ac:dyDescent="0.35">
      <c r="B78" s="3" t="s">
        <v>7</v>
      </c>
      <c r="C78" s="2">
        <v>6</v>
      </c>
      <c r="D78" s="2" t="s">
        <v>7</v>
      </c>
      <c r="E78" s="2" t="s">
        <v>7</v>
      </c>
      <c r="F78" s="2">
        <v>4</v>
      </c>
      <c r="G78" s="2" t="s">
        <v>8</v>
      </c>
      <c r="H78" s="4" t="str">
        <f t="shared" si="1"/>
        <v>6–7 hours</v>
      </c>
    </row>
    <row r="79" spans="2:8" x14ac:dyDescent="0.35">
      <c r="B79" s="3" t="s">
        <v>8</v>
      </c>
      <c r="C79" s="2">
        <v>6</v>
      </c>
      <c r="D79" s="2" t="s">
        <v>7</v>
      </c>
      <c r="E79" s="2" t="s">
        <v>7</v>
      </c>
      <c r="F79" s="2">
        <v>3</v>
      </c>
      <c r="G79" s="2" t="s">
        <v>7</v>
      </c>
      <c r="H79" s="4" t="str">
        <f t="shared" si="1"/>
        <v>6–7 hours</v>
      </c>
    </row>
    <row r="80" spans="2:8" x14ac:dyDescent="0.35">
      <c r="B80" s="3" t="s">
        <v>8</v>
      </c>
      <c r="C80" s="2">
        <v>7</v>
      </c>
      <c r="D80" s="2" t="s">
        <v>7</v>
      </c>
      <c r="E80" s="2" t="s">
        <v>7</v>
      </c>
      <c r="F80" s="2">
        <v>4</v>
      </c>
      <c r="G80" s="2" t="s">
        <v>8</v>
      </c>
      <c r="H80" s="4" t="str">
        <f t="shared" si="1"/>
        <v>6–7 hours</v>
      </c>
    </row>
    <row r="81" spans="2:8" x14ac:dyDescent="0.35">
      <c r="B81" s="3" t="s">
        <v>7</v>
      </c>
      <c r="C81" s="2">
        <v>6</v>
      </c>
      <c r="D81" s="2" t="s">
        <v>7</v>
      </c>
      <c r="E81" s="2" t="s">
        <v>7</v>
      </c>
      <c r="F81" s="2">
        <v>3</v>
      </c>
      <c r="G81" s="2" t="s">
        <v>8</v>
      </c>
      <c r="H81" s="4" t="str">
        <f t="shared" si="1"/>
        <v>6–7 hours</v>
      </c>
    </row>
    <row r="82" spans="2:8" x14ac:dyDescent="0.35">
      <c r="B82" s="3" t="s">
        <v>8</v>
      </c>
      <c r="C82" s="2">
        <v>6</v>
      </c>
      <c r="D82" s="2" t="s">
        <v>7</v>
      </c>
      <c r="E82" s="2" t="s">
        <v>7</v>
      </c>
      <c r="F82" s="2">
        <v>3</v>
      </c>
      <c r="G82" s="2" t="s">
        <v>8</v>
      </c>
      <c r="H82" s="4" t="str">
        <f t="shared" si="1"/>
        <v>6–7 hours</v>
      </c>
    </row>
    <row r="83" spans="2:8" x14ac:dyDescent="0.35">
      <c r="B83" s="3" t="s">
        <v>8</v>
      </c>
      <c r="C83" s="2">
        <v>5</v>
      </c>
      <c r="D83" s="2" t="s">
        <v>8</v>
      </c>
      <c r="E83" s="2" t="s">
        <v>8</v>
      </c>
      <c r="F83" s="2">
        <v>4</v>
      </c>
      <c r="G83" s="2" t="s">
        <v>8</v>
      </c>
      <c r="H83" s="4" t="str">
        <f t="shared" si="1"/>
        <v>≤5 hours</v>
      </c>
    </row>
    <row r="84" spans="2:8" x14ac:dyDescent="0.35">
      <c r="B84" s="3" t="s">
        <v>7</v>
      </c>
      <c r="C84" s="2">
        <v>8</v>
      </c>
      <c r="D84" s="2" t="s">
        <v>8</v>
      </c>
      <c r="E84" s="2" t="s">
        <v>8</v>
      </c>
      <c r="F84" s="2">
        <v>2</v>
      </c>
      <c r="G84" s="2" t="s">
        <v>7</v>
      </c>
      <c r="H84" s="4" t="str">
        <f t="shared" si="1"/>
        <v>≥8 hours</v>
      </c>
    </row>
    <row r="85" spans="2:8" x14ac:dyDescent="0.35">
      <c r="B85" s="3" t="s">
        <v>7</v>
      </c>
      <c r="C85" s="2">
        <v>8</v>
      </c>
      <c r="D85" s="2" t="s">
        <v>8</v>
      </c>
      <c r="E85" s="2" t="s">
        <v>7</v>
      </c>
      <c r="F85" s="2">
        <v>1</v>
      </c>
      <c r="G85" s="2" t="s">
        <v>7</v>
      </c>
      <c r="H85" s="4" t="str">
        <f t="shared" si="1"/>
        <v>≥8 hours</v>
      </c>
    </row>
    <row r="86" spans="2:8" x14ac:dyDescent="0.35">
      <c r="B86" s="3" t="s">
        <v>8</v>
      </c>
      <c r="C86" s="2">
        <v>6</v>
      </c>
      <c r="D86" s="2" t="s">
        <v>7</v>
      </c>
      <c r="E86" s="2" t="s">
        <v>7</v>
      </c>
      <c r="F86" s="2">
        <v>3</v>
      </c>
      <c r="G86" s="2" t="s">
        <v>8</v>
      </c>
      <c r="H86" s="4" t="str">
        <f t="shared" si="1"/>
        <v>6–7 hours</v>
      </c>
    </row>
    <row r="87" spans="2:8" x14ac:dyDescent="0.35">
      <c r="B87" s="3" t="s">
        <v>8</v>
      </c>
      <c r="C87" s="2">
        <v>9</v>
      </c>
      <c r="D87" s="2" t="s">
        <v>8</v>
      </c>
      <c r="E87" s="2" t="s">
        <v>7</v>
      </c>
      <c r="F87" s="2">
        <v>5</v>
      </c>
      <c r="G87" s="2" t="s">
        <v>7</v>
      </c>
      <c r="H87" s="4" t="str">
        <f t="shared" si="1"/>
        <v>≥8 hours</v>
      </c>
    </row>
    <row r="88" spans="2:8" x14ac:dyDescent="0.35">
      <c r="B88" s="3" t="s">
        <v>8</v>
      </c>
      <c r="C88" s="2">
        <v>5</v>
      </c>
      <c r="D88" s="2" t="s">
        <v>7</v>
      </c>
      <c r="E88" s="2" t="s">
        <v>8</v>
      </c>
      <c r="F88" s="2">
        <v>4</v>
      </c>
      <c r="G88" s="2" t="s">
        <v>7</v>
      </c>
      <c r="H88" s="4" t="str">
        <f t="shared" si="1"/>
        <v>≤5 hours</v>
      </c>
    </row>
    <row r="89" spans="2:8" x14ac:dyDescent="0.35">
      <c r="B89" s="3" t="s">
        <v>8</v>
      </c>
      <c r="C89" s="2">
        <v>6</v>
      </c>
      <c r="D89" s="2" t="s">
        <v>7</v>
      </c>
      <c r="E89" s="2" t="s">
        <v>8</v>
      </c>
      <c r="F89" s="2">
        <v>2</v>
      </c>
      <c r="G89" s="2" t="s">
        <v>7</v>
      </c>
      <c r="H89" s="4" t="str">
        <f t="shared" si="1"/>
        <v>6–7 hours</v>
      </c>
    </row>
    <row r="90" spans="2:8" x14ac:dyDescent="0.35">
      <c r="B90" s="3" t="s">
        <v>7</v>
      </c>
      <c r="C90" s="2">
        <v>8</v>
      </c>
      <c r="D90" s="2" t="s">
        <v>8</v>
      </c>
      <c r="E90" s="2" t="s">
        <v>7</v>
      </c>
      <c r="F90" s="2">
        <v>3</v>
      </c>
      <c r="G90" s="2" t="s">
        <v>7</v>
      </c>
      <c r="H90" s="4" t="str">
        <f t="shared" si="1"/>
        <v>≥8 hours</v>
      </c>
    </row>
    <row r="91" spans="2:8" x14ac:dyDescent="0.35">
      <c r="B91" s="3" t="s">
        <v>8</v>
      </c>
      <c r="C91" s="2">
        <v>7</v>
      </c>
      <c r="D91" s="2" t="s">
        <v>8</v>
      </c>
      <c r="E91" s="2" t="s">
        <v>7</v>
      </c>
      <c r="F91" s="2">
        <v>4</v>
      </c>
      <c r="G91" s="2" t="s">
        <v>7</v>
      </c>
      <c r="H91" s="4" t="str">
        <f t="shared" si="1"/>
        <v>6–7 hours</v>
      </c>
    </row>
    <row r="92" spans="2:8" x14ac:dyDescent="0.35">
      <c r="B92" s="3" t="s">
        <v>7</v>
      </c>
      <c r="C92" s="2">
        <v>7</v>
      </c>
      <c r="D92" s="2" t="s">
        <v>8</v>
      </c>
      <c r="E92" s="2" t="s">
        <v>7</v>
      </c>
      <c r="F92" s="2">
        <v>2</v>
      </c>
      <c r="G92" s="2" t="s">
        <v>7</v>
      </c>
      <c r="H92" s="4" t="str">
        <f t="shared" si="1"/>
        <v>6–7 hours</v>
      </c>
    </row>
    <row r="93" spans="2:8" x14ac:dyDescent="0.35">
      <c r="B93" s="3" t="s">
        <v>7</v>
      </c>
      <c r="C93" s="2">
        <v>9</v>
      </c>
      <c r="D93" s="2" t="s">
        <v>8</v>
      </c>
      <c r="E93" s="2" t="s">
        <v>8</v>
      </c>
      <c r="F93" s="2">
        <v>2</v>
      </c>
      <c r="G93" s="2" t="s">
        <v>7</v>
      </c>
      <c r="H93" s="4" t="str">
        <f t="shared" si="1"/>
        <v>≥8 hours</v>
      </c>
    </row>
    <row r="94" spans="2:8" x14ac:dyDescent="0.35">
      <c r="B94" s="3" t="s">
        <v>7</v>
      </c>
      <c r="C94" s="2">
        <v>8</v>
      </c>
      <c r="D94" s="2" t="s">
        <v>7</v>
      </c>
      <c r="E94" s="2" t="s">
        <v>7</v>
      </c>
      <c r="F94" s="2">
        <v>4</v>
      </c>
      <c r="G94" s="2" t="s">
        <v>8</v>
      </c>
      <c r="H94" s="4" t="str">
        <f t="shared" si="1"/>
        <v>≥8 hours</v>
      </c>
    </row>
    <row r="95" spans="2:8" x14ac:dyDescent="0.35">
      <c r="B95" s="3" t="s">
        <v>7</v>
      </c>
      <c r="C95" s="2">
        <v>7</v>
      </c>
      <c r="D95" s="2" t="s">
        <v>8</v>
      </c>
      <c r="E95" s="2" t="s">
        <v>7</v>
      </c>
      <c r="F95" s="2">
        <v>2</v>
      </c>
      <c r="G95" s="2" t="s">
        <v>7</v>
      </c>
      <c r="H95" s="4" t="str">
        <f t="shared" si="1"/>
        <v>6–7 hours</v>
      </c>
    </row>
    <row r="96" spans="2:8" x14ac:dyDescent="0.35">
      <c r="B96" s="3" t="s">
        <v>8</v>
      </c>
      <c r="C96" s="2">
        <v>7</v>
      </c>
      <c r="D96" s="2" t="s">
        <v>7</v>
      </c>
      <c r="E96" s="2" t="s">
        <v>7</v>
      </c>
      <c r="F96" s="2">
        <v>4</v>
      </c>
      <c r="G96" s="2" t="s">
        <v>7</v>
      </c>
      <c r="H96" s="4" t="str">
        <f t="shared" si="1"/>
        <v>6–7 hours</v>
      </c>
    </row>
    <row r="97" spans="2:8" x14ac:dyDescent="0.35">
      <c r="B97" s="3" t="s">
        <v>7</v>
      </c>
      <c r="C97" s="2">
        <v>7</v>
      </c>
      <c r="D97" s="2" t="s">
        <v>7</v>
      </c>
      <c r="E97" s="2" t="s">
        <v>7</v>
      </c>
      <c r="F97" s="2">
        <v>2</v>
      </c>
      <c r="G97" s="2" t="s">
        <v>8</v>
      </c>
      <c r="H97" s="4" t="str">
        <f t="shared" si="1"/>
        <v>6–7 hours</v>
      </c>
    </row>
    <row r="98" spans="2:8" x14ac:dyDescent="0.35">
      <c r="B98" s="3" t="s">
        <v>8</v>
      </c>
      <c r="C98" s="2">
        <v>6</v>
      </c>
      <c r="D98" s="2" t="s">
        <v>7</v>
      </c>
      <c r="E98" s="2" t="s">
        <v>7</v>
      </c>
      <c r="F98" s="2">
        <v>3</v>
      </c>
      <c r="G98" s="2" t="s">
        <v>8</v>
      </c>
      <c r="H98" s="4" t="str">
        <f t="shared" si="1"/>
        <v>6–7 hours</v>
      </c>
    </row>
    <row r="99" spans="2:8" x14ac:dyDescent="0.35">
      <c r="B99" s="3" t="s">
        <v>8</v>
      </c>
      <c r="C99" s="2">
        <v>7</v>
      </c>
      <c r="D99" s="2" t="s">
        <v>7</v>
      </c>
      <c r="E99" s="2" t="s">
        <v>7</v>
      </c>
      <c r="F99" s="2">
        <v>2</v>
      </c>
      <c r="G99" s="2" t="s">
        <v>7</v>
      </c>
      <c r="H99" s="4" t="str">
        <f t="shared" si="1"/>
        <v>6–7 hours</v>
      </c>
    </row>
    <row r="100" spans="2:8" x14ac:dyDescent="0.35">
      <c r="B100" s="3" t="s">
        <v>8</v>
      </c>
      <c r="C100" s="2">
        <v>7</v>
      </c>
      <c r="D100" s="2" t="s">
        <v>8</v>
      </c>
      <c r="E100" s="2" t="s">
        <v>7</v>
      </c>
      <c r="F100" s="2">
        <v>3</v>
      </c>
      <c r="G100" s="2" t="s">
        <v>7</v>
      </c>
      <c r="H100" s="4" t="str">
        <f t="shared" si="1"/>
        <v>6–7 hours</v>
      </c>
    </row>
    <row r="101" spans="2:8" x14ac:dyDescent="0.35">
      <c r="B101" s="3" t="s">
        <v>7</v>
      </c>
      <c r="C101" s="2">
        <v>8</v>
      </c>
      <c r="D101" s="2" t="s">
        <v>7</v>
      </c>
      <c r="E101" s="2" t="s">
        <v>7</v>
      </c>
      <c r="F101" s="2">
        <v>3</v>
      </c>
      <c r="G101" s="2" t="s">
        <v>7</v>
      </c>
      <c r="H101" s="4" t="str">
        <f t="shared" si="1"/>
        <v>≥8 hours</v>
      </c>
    </row>
    <row r="102" spans="2:8" x14ac:dyDescent="0.35">
      <c r="B102" s="3" t="s">
        <v>7</v>
      </c>
      <c r="C102" s="2">
        <v>7</v>
      </c>
      <c r="D102" s="2" t="s">
        <v>7</v>
      </c>
      <c r="E102" s="2" t="s">
        <v>7</v>
      </c>
      <c r="F102" s="2">
        <v>2</v>
      </c>
      <c r="G102" s="2" t="s">
        <v>7</v>
      </c>
      <c r="H102" s="4" t="str">
        <f t="shared" si="1"/>
        <v>6–7 hours</v>
      </c>
    </row>
    <row r="103" spans="2:8" x14ac:dyDescent="0.35">
      <c r="B103" s="8" t="s">
        <v>7</v>
      </c>
      <c r="C103" s="9">
        <v>6</v>
      </c>
      <c r="D103" s="9" t="s">
        <v>7</v>
      </c>
      <c r="E103" s="9" t="s">
        <v>7</v>
      </c>
      <c r="F103" s="9">
        <v>3</v>
      </c>
      <c r="G103" s="9" t="s">
        <v>7</v>
      </c>
      <c r="H103" s="10" t="str">
        <f t="shared" si="1"/>
        <v>6–7 hours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7642-553F-4E2D-9870-CC3C969C9445}">
  <dimension ref="A1:M15"/>
  <sheetViews>
    <sheetView zoomScale="86" workbookViewId="0">
      <selection activeCell="D2" sqref="D2:D3"/>
      <pivotSelection pane="bottomRight" showHeader="1" activeRow="1" activeCol="3" click="1" r:id="rId2">
        <pivotArea dataOnly="0" labelOnly="1" fieldPosition="0">
          <references count="1">
            <reference field="2" count="0"/>
          </references>
        </pivotArea>
      </pivotSelection>
    </sheetView>
  </sheetViews>
  <sheetFormatPr defaultRowHeight="14.5" x14ac:dyDescent="0.35"/>
  <cols>
    <col min="1" max="1" width="13.6328125" bestFit="1" customWidth="1"/>
    <col min="2" max="2" width="20.36328125" bestFit="1" customWidth="1"/>
    <col min="4" max="4" width="13" bestFit="1" customWidth="1"/>
    <col min="5" max="5" width="20.453125" bestFit="1" customWidth="1"/>
    <col min="12" max="12" width="13" bestFit="1" customWidth="1"/>
    <col min="13" max="13" width="26.7265625" bestFit="1" customWidth="1"/>
    <col min="14" max="15" width="4.6328125" bestFit="1" customWidth="1"/>
    <col min="16" max="16" width="10.7265625" bestFit="1" customWidth="1"/>
  </cols>
  <sheetData>
    <row r="1" spans="1:13" x14ac:dyDescent="0.35">
      <c r="A1" t="s">
        <v>11</v>
      </c>
      <c r="B1" t="s">
        <v>16</v>
      </c>
      <c r="D1" s="11" t="s">
        <v>38</v>
      </c>
      <c r="E1" t="s">
        <v>16</v>
      </c>
    </row>
    <row r="2" spans="1:13" x14ac:dyDescent="0.35">
      <c r="A2" s="13">
        <v>6.7590361445783129</v>
      </c>
      <c r="B2" s="13">
        <v>3.072289156626506</v>
      </c>
      <c r="D2" s="12" t="s">
        <v>8</v>
      </c>
      <c r="E2" s="14">
        <v>3.1818181818181817</v>
      </c>
    </row>
    <row r="3" spans="1:13" x14ac:dyDescent="0.35">
      <c r="D3" s="12" t="s">
        <v>7</v>
      </c>
      <c r="E3" s="14">
        <v>3.0327868852459017</v>
      </c>
    </row>
    <row r="4" spans="1:13" x14ac:dyDescent="0.35">
      <c r="D4" s="12" t="s">
        <v>13</v>
      </c>
      <c r="E4" s="14">
        <v>3.072289156626506</v>
      </c>
    </row>
    <row r="5" spans="1:13" x14ac:dyDescent="0.35">
      <c r="A5" s="11" t="s">
        <v>35</v>
      </c>
      <c r="B5" t="s">
        <v>10</v>
      </c>
    </row>
    <row r="6" spans="1:13" x14ac:dyDescent="0.35">
      <c r="A6" s="12" t="s">
        <v>8</v>
      </c>
      <c r="B6" s="13">
        <v>6.4727272727272727</v>
      </c>
      <c r="D6" s="11" t="s">
        <v>5</v>
      </c>
      <c r="E6" t="s">
        <v>16</v>
      </c>
    </row>
    <row r="7" spans="1:13" x14ac:dyDescent="0.35">
      <c r="A7" s="12" t="s">
        <v>7</v>
      </c>
      <c r="B7">
        <v>7.3214285714285712</v>
      </c>
      <c r="D7" s="12" t="s">
        <v>8</v>
      </c>
      <c r="E7" s="13">
        <v>3.3333333333333335</v>
      </c>
    </row>
    <row r="8" spans="1:13" x14ac:dyDescent="0.35">
      <c r="A8" s="12" t="s">
        <v>13</v>
      </c>
      <c r="B8" s="13">
        <v>6.7590361445783129</v>
      </c>
      <c r="D8" s="12" t="s">
        <v>7</v>
      </c>
      <c r="E8" s="13">
        <v>2.9</v>
      </c>
    </row>
    <row r="9" spans="1:13" x14ac:dyDescent="0.35">
      <c r="D9" s="12" t="s">
        <v>13</v>
      </c>
      <c r="E9" s="13">
        <v>3.072289156626506</v>
      </c>
    </row>
    <row r="10" spans="1:13" x14ac:dyDescent="0.35">
      <c r="L10" s="11" t="s">
        <v>12</v>
      </c>
      <c r="M10" t="s">
        <v>39</v>
      </c>
    </row>
    <row r="11" spans="1:13" x14ac:dyDescent="0.35">
      <c r="A11" s="11" t="s">
        <v>36</v>
      </c>
      <c r="B11" t="s">
        <v>16</v>
      </c>
      <c r="D11" s="11" t="s">
        <v>12</v>
      </c>
      <c r="E11" s="35" t="s">
        <v>37</v>
      </c>
      <c r="L11" s="12" t="s">
        <v>13</v>
      </c>
      <c r="M11" s="13">
        <v>3.0882352941176472</v>
      </c>
    </row>
    <row r="12" spans="1:13" x14ac:dyDescent="0.35">
      <c r="A12" s="12" t="s">
        <v>14</v>
      </c>
      <c r="B12" s="13">
        <v>2.8</v>
      </c>
      <c r="D12" s="12" t="s">
        <v>8</v>
      </c>
      <c r="E12" s="35">
        <v>0.66265060240963858</v>
      </c>
      <c r="L12" s="12" t="s">
        <v>8</v>
      </c>
      <c r="M12" s="13">
        <v>3.3902439024390243</v>
      </c>
    </row>
    <row r="13" spans="1:13" x14ac:dyDescent="0.35">
      <c r="A13" s="12" t="s">
        <v>15</v>
      </c>
      <c r="B13">
        <v>3</v>
      </c>
      <c r="D13" s="12" t="s">
        <v>7</v>
      </c>
      <c r="E13" s="35">
        <v>0.33734939759036142</v>
      </c>
      <c r="L13" s="12" t="s">
        <v>7</v>
      </c>
      <c r="M13" s="13">
        <v>2.8852459016393444</v>
      </c>
    </row>
    <row r="14" spans="1:13" x14ac:dyDescent="0.35">
      <c r="A14" s="12" t="s">
        <v>9</v>
      </c>
      <c r="B14" s="13">
        <v>3.1538461538461537</v>
      </c>
      <c r="D14" s="12" t="s">
        <v>13</v>
      </c>
      <c r="E14" s="35">
        <v>1</v>
      </c>
      <c r="L14" s="12" t="s">
        <v>13</v>
      </c>
      <c r="M14" s="13">
        <v>9.3637250981960154</v>
      </c>
    </row>
    <row r="15" spans="1:13" x14ac:dyDescent="0.35">
      <c r="A15" s="12" t="s">
        <v>13</v>
      </c>
      <c r="B15" s="13">
        <v>3.072289156626506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DB65-AC78-4C0E-9534-6E52EB0D91F2}">
  <dimension ref="A2:AN68"/>
  <sheetViews>
    <sheetView topLeftCell="A2" zoomScale="36" workbookViewId="0">
      <selection activeCell="AV51" sqref="AV51"/>
    </sheetView>
  </sheetViews>
  <sheetFormatPr defaultRowHeight="14.5" x14ac:dyDescent="0.35"/>
  <sheetData>
    <row r="2" spans="1:40" x14ac:dyDescent="0.3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row>
    <row r="3" spans="1:40" x14ac:dyDescent="0.3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row>
    <row r="4" spans="1:40" x14ac:dyDescent="0.3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row>
    <row r="5" spans="1:40" x14ac:dyDescent="0.3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row>
    <row r="6" spans="1:40" x14ac:dyDescent="0.3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row>
    <row r="7" spans="1:40" x14ac:dyDescent="0.35">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row>
    <row r="8" spans="1:40" x14ac:dyDescent="0.35">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row>
    <row r="9" spans="1:40" x14ac:dyDescent="0.35">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row>
    <row r="10" spans="1:40" x14ac:dyDescent="0.35">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row>
    <row r="11" spans="1:40" x14ac:dyDescent="0.3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row>
    <row r="12" spans="1:40" x14ac:dyDescent="0.35">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row>
    <row r="13" spans="1:40" x14ac:dyDescent="0.35">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row>
    <row r="14" spans="1:40" x14ac:dyDescent="0.35">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row>
    <row r="15" spans="1:40" x14ac:dyDescent="0.3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row>
    <row r="16" spans="1:40" x14ac:dyDescent="0.35">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row>
    <row r="17" spans="1:40" x14ac:dyDescent="0.35">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row>
    <row r="18" spans="1:40" x14ac:dyDescent="0.35">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row>
    <row r="19" spans="1:40" x14ac:dyDescent="0.35">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row>
    <row r="20" spans="1:40" x14ac:dyDescent="0.35">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row>
    <row r="21" spans="1:40" x14ac:dyDescent="0.35">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row>
    <row r="22" spans="1:40" x14ac:dyDescent="0.35">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row>
    <row r="23" spans="1:40" x14ac:dyDescent="0.35">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row>
    <row r="24" spans="1:40" x14ac:dyDescent="0.35">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row>
    <row r="25" spans="1:40" x14ac:dyDescent="0.3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row>
    <row r="26" spans="1:40" x14ac:dyDescent="0.35">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row>
    <row r="27" spans="1:40" x14ac:dyDescent="0.35">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row>
    <row r="28" spans="1:40" x14ac:dyDescent="0.3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row>
    <row r="29" spans="1:40" x14ac:dyDescent="0.35">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row>
    <row r="30" spans="1:40" x14ac:dyDescent="0.35">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row>
    <row r="31" spans="1:40" x14ac:dyDescent="0.35">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row>
    <row r="32" spans="1:40" x14ac:dyDescent="0.35">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row>
    <row r="33" spans="1:40" x14ac:dyDescent="0.35">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row>
    <row r="34" spans="1:40" x14ac:dyDescent="0.35">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row>
    <row r="35" spans="1:40" x14ac:dyDescent="0.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row>
    <row r="36" spans="1:40" x14ac:dyDescent="0.35">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row>
    <row r="37" spans="1:40" x14ac:dyDescent="0.35">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row>
    <row r="38" spans="1:40" x14ac:dyDescent="0.35">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row>
    <row r="39" spans="1:40" x14ac:dyDescent="0.35">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row>
    <row r="40" spans="1:40" x14ac:dyDescent="0.35">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row>
    <row r="41" spans="1:40" x14ac:dyDescent="0.35">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row>
    <row r="42" spans="1:40" x14ac:dyDescent="0.35">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row>
    <row r="43" spans="1:40" x14ac:dyDescent="0.35">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row>
    <row r="44" spans="1:40" x14ac:dyDescent="0.35">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row>
    <row r="45" spans="1:40" x14ac:dyDescent="0.3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row>
    <row r="46" spans="1:40" x14ac:dyDescent="0.35">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row>
    <row r="47" spans="1:40" x14ac:dyDescent="0.35">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row>
    <row r="48" spans="1:40" x14ac:dyDescent="0.35">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row>
    <row r="49" spans="1:40" x14ac:dyDescent="0.35">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row>
    <row r="50" spans="1:40" x14ac:dyDescent="0.3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row>
    <row r="51" spans="1:40" x14ac:dyDescent="0.35">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row>
    <row r="52" spans="1:40" x14ac:dyDescent="0.35">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row>
    <row r="53" spans="1:40" x14ac:dyDescent="0.35">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row>
    <row r="54" spans="1:40" x14ac:dyDescent="0.35">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row>
    <row r="55" spans="1:40" x14ac:dyDescent="0.3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row>
    <row r="56" spans="1:40" x14ac:dyDescent="0.35">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row>
    <row r="57" spans="1:40" x14ac:dyDescent="0.35">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row>
    <row r="58" spans="1:40" x14ac:dyDescent="0.35">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row>
    <row r="59" spans="1:40" x14ac:dyDescent="0.35">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row>
    <row r="60" spans="1:40" x14ac:dyDescent="0.35">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row>
    <row r="61" spans="1:40" x14ac:dyDescent="0.35">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row>
    <row r="62" spans="1:40" x14ac:dyDescent="0.3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row>
    <row r="63" spans="1:40" x14ac:dyDescent="0.3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row>
    <row r="64" spans="1:40" x14ac:dyDescent="0.3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row>
    <row r="65" spans="1:40" x14ac:dyDescent="0.3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row>
    <row r="66" spans="1:40" x14ac:dyDescent="0.3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row>
    <row r="67" spans="1:40" x14ac:dyDescent="0.3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row>
    <row r="68" spans="1:40" x14ac:dyDescent="0.3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F4E8-F177-44D1-9BC8-91E7A32E67B1}">
  <dimension ref="B2:D18"/>
  <sheetViews>
    <sheetView tabSelected="1" workbookViewId="0">
      <selection activeCell="D3" sqref="D3"/>
    </sheetView>
  </sheetViews>
  <sheetFormatPr defaultRowHeight="14.5" x14ac:dyDescent="0.35"/>
  <sheetData>
    <row r="2" spans="2:4" x14ac:dyDescent="0.35">
      <c r="B2" s="15" t="s">
        <v>17</v>
      </c>
      <c r="D2" s="27" t="s">
        <v>29</v>
      </c>
    </row>
    <row r="3" spans="2:4" x14ac:dyDescent="0.35">
      <c r="B3" s="16" t="s">
        <v>18</v>
      </c>
      <c r="D3" s="28" t="s">
        <v>30</v>
      </c>
    </row>
    <row r="4" spans="2:4" x14ac:dyDescent="0.35">
      <c r="B4" s="17" t="s">
        <v>19</v>
      </c>
    </row>
    <row r="5" spans="2:4" x14ac:dyDescent="0.35">
      <c r="D5" s="29"/>
    </row>
    <row r="6" spans="2:4" x14ac:dyDescent="0.35">
      <c r="B6" s="18" t="s">
        <v>20</v>
      </c>
    </row>
    <row r="7" spans="2:4" x14ac:dyDescent="0.35">
      <c r="B7" s="19" t="s">
        <v>21</v>
      </c>
      <c r="D7" s="30"/>
    </row>
    <row r="9" spans="2:4" x14ac:dyDescent="0.35">
      <c r="B9" s="20" t="s">
        <v>22</v>
      </c>
      <c r="D9" s="31" t="s">
        <v>31</v>
      </c>
    </row>
    <row r="11" spans="2:4" x14ac:dyDescent="0.35">
      <c r="B11" s="21" t="s">
        <v>23</v>
      </c>
      <c r="D11" s="32" t="s">
        <v>32</v>
      </c>
    </row>
    <row r="12" spans="2:4" x14ac:dyDescent="0.35">
      <c r="B12" s="22" t="s">
        <v>24</v>
      </c>
    </row>
    <row r="13" spans="2:4" x14ac:dyDescent="0.35">
      <c r="D13" s="33" t="s">
        <v>33</v>
      </c>
    </row>
    <row r="14" spans="2:4" x14ac:dyDescent="0.35">
      <c r="B14" s="23" t="s">
        <v>25</v>
      </c>
    </row>
    <row r="15" spans="2:4" x14ac:dyDescent="0.35">
      <c r="B15" s="24" t="s">
        <v>26</v>
      </c>
      <c r="D15" s="34" t="s">
        <v>34</v>
      </c>
    </row>
    <row r="17" spans="2:2" x14ac:dyDescent="0.35">
      <c r="B17" s="25" t="s">
        <v>27</v>
      </c>
    </row>
    <row r="18" spans="2:2" x14ac:dyDescent="0.35">
      <c r="B18" s="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cleaned_sleep_data</vt:lpstr>
      <vt:lpstr>Pivot Table</vt:lpstr>
      <vt:lpstr>Dashboard</vt:lpstr>
      <vt:lpstr>Colours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Aysha Sheik Abbas</cp:lastModifiedBy>
  <dcterms:created xsi:type="dcterms:W3CDTF">2026-02-01T11:19:50Z</dcterms:created>
  <dcterms:modified xsi:type="dcterms:W3CDTF">2026-02-02T15:12:15Z</dcterms:modified>
</cp:coreProperties>
</file>